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TH" sheetId="1" r:id="rId5"/>
    <sheet state="visible" name="PGY1" sheetId="2" r:id="rId6"/>
    <sheet state="visible" name="PGY2" sheetId="3" r:id="rId7"/>
    <sheet state="visible" name="PGY3" sheetId="4" r:id="rId8"/>
    <sheet state="visible" name="PGY4" sheetId="5" r:id="rId9"/>
    <sheet state="visible" name="OSRs" sheetId="6" r:id="rId10"/>
  </sheets>
  <definedNames>
    <definedName name="MY_FUNCTION1">LAMBDA(COUNTIF(#REF!,{"D2"; "D2a"; "D2p"})+COUNTIF(#REF!,{"D2"; "D2a"; "D2p"}))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peds lmr</t>
      </text>
    </comment>
    <comment authorId="0" ref="N3">
      <text>
        <t xml:space="preserve">sim</t>
      </text>
    </comment>
    <comment authorId="0" ref="P3">
      <text>
        <t xml:space="preserve">peds lmr</t>
      </text>
    </comment>
    <comment authorId="0" ref="Q3">
      <text>
        <t xml:space="preserve">icu lmr</t>
      </text>
    </comment>
    <comment authorId="0" ref="T3">
      <text>
        <t xml:space="preserve">addiction med lmr</t>
      </text>
    </comment>
    <comment authorId="0" ref="U3">
      <text>
        <t xml:space="preserve">peds lmr</t>
      </text>
    </comment>
    <comment authorId="0" ref="V3">
      <text>
        <t xml:space="preserve">ITE - PGY2 retreat</t>
      </text>
    </comment>
    <comment authorId="0" ref="X3">
      <text>
        <t xml:space="preserve">tox lmr</t>
      </text>
    </comment>
    <comment authorId="0" ref="AA3">
      <text>
        <t xml:space="preserve">tox lmr</t>
      </text>
    </comment>
    <comment authorId="0" ref="AD3">
      <text>
        <t xml:space="preserve">crit care lmr</t>
      </text>
    </comment>
    <comment authorId="0" ref="H39">
      <text>
        <t xml:space="preserve">junior shift</t>
      </text>
    </comment>
    <comment authorId="0" ref="T40">
      <text>
        <t xml:space="preserve">Swap with Kayla</t>
      </text>
    </comment>
    <comment authorId="0" ref="P41">
      <text>
        <t xml:space="preserve">junior shift</t>
      </text>
    </comment>
    <comment authorId="0" ref="W43">
      <text>
        <t xml:space="preserve">junior shift</t>
      </text>
    </comment>
    <comment authorId="0" ref="M44">
      <text>
        <t xml:space="preserve">junior shift</t>
      </text>
    </comment>
    <comment authorId="0" ref="N46">
      <text>
        <t xml:space="preserve">junior shift</t>
      </text>
    </comment>
    <comment authorId="0" ref="T50">
      <text>
        <t xml:space="preserve">Swap with Spencer</t>
      </text>
    </comment>
    <comment authorId="0" ref="J59">
      <text>
        <t xml:space="preserve">junior shift</t>
      </text>
    </comment>
    <comment authorId="0" ref="T62">
      <text>
        <t xml:space="preserve">Swap with Noumi</t>
      </text>
    </comment>
    <comment authorId="0" ref="U63">
      <text>
        <t xml:space="preserve">10-10 shift (swap w PAs)</t>
      </text>
    </comment>
    <comment authorId="0" ref="R70">
      <text>
        <t xml:space="preserve">D1 a</t>
      </text>
    </comment>
    <comment authorId="0" ref="S70">
      <text>
        <t xml:space="preserve">D1 a</t>
      </text>
    </comment>
    <comment authorId="0" ref="Z70">
      <text>
        <t xml:space="preserve">BK9</t>
      </text>
    </comment>
    <comment authorId="0" ref="AG70">
      <text>
        <t xml:space="preserve">BK9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naya</t>
      </text>
    </comment>
  </commentList>
</comments>
</file>

<file path=xl/sharedStrings.xml><?xml version="1.0" encoding="utf-8"?>
<sst xmlns="http://schemas.openxmlformats.org/spreadsheetml/2006/main" count="3225" uniqueCount="407">
  <si>
    <t>https://infoinspired.com/google-docs/spreadsheet/learn-query-function-with-examples-in-google-sheets/</t>
  </si>
  <si>
    <t>Block 9</t>
  </si>
  <si>
    <t>M</t>
  </si>
  <si>
    <t>T</t>
  </si>
  <si>
    <t>W</t>
  </si>
  <si>
    <t>Th</t>
  </si>
  <si>
    <t>F</t>
  </si>
  <si>
    <t>Sa</t>
  </si>
  <si>
    <t>Su</t>
  </si>
  <si>
    <t>02/09/26-03/08/26</t>
  </si>
  <si>
    <t>OSR</t>
  </si>
  <si>
    <t>Amion ID</t>
  </si>
  <si>
    <t>Before</t>
  </si>
  <si>
    <t>Block</t>
  </si>
  <si>
    <t>After</t>
  </si>
  <si>
    <t>Phillip Cohen (Med)</t>
  </si>
  <si>
    <t>PC</t>
  </si>
  <si>
    <t>n2b</t>
  </si>
  <si>
    <t>Elizabeth Flagg (Med)</t>
  </si>
  <si>
    <t>EF</t>
  </si>
  <si>
    <t>d2b</t>
  </si>
  <si>
    <t>Abhishek Bhattacharya (Med)</t>
  </si>
  <si>
    <t>ABh</t>
  </si>
  <si>
    <t>d4</t>
  </si>
  <si>
    <t>Tyler Warner (Ortho)</t>
  </si>
  <si>
    <t>n2a</t>
  </si>
  <si>
    <t>d1</t>
  </si>
  <si>
    <t>d2</t>
  </si>
  <si>
    <t>d3</t>
  </si>
  <si>
    <t>d5</t>
  </si>
  <si>
    <t>n2</t>
  </si>
  <si>
    <t>Yonathan Daniel (Med)</t>
  </si>
  <si>
    <t>YD</t>
  </si>
  <si>
    <t>Jeremy Perrelle (Med)</t>
  </si>
  <si>
    <t>JPl</t>
  </si>
  <si>
    <t>Colby Smith (Med)</t>
  </si>
  <si>
    <t>CS</t>
  </si>
  <si>
    <t>d4a</t>
  </si>
  <si>
    <t>Mariela Trejo (Med)</t>
  </si>
  <si>
    <t>MTr</t>
  </si>
  <si>
    <t>Geoffrey Cloud (Med)</t>
  </si>
  <si>
    <t>GC</t>
  </si>
  <si>
    <t>Daniel Grubman (Med)</t>
  </si>
  <si>
    <t>DG</t>
  </si>
  <si>
    <t>Katharine Martin (Med)</t>
  </si>
  <si>
    <t>KMa</t>
  </si>
  <si>
    <t>Carolyn Wilson (Med)</t>
  </si>
  <si>
    <t>CWi</t>
  </si>
  <si>
    <t>Nimi Patel (Psych)</t>
  </si>
  <si>
    <t>NP</t>
  </si>
  <si>
    <t>PGY-1</t>
  </si>
  <si>
    <t>Brian Morrissey</t>
  </si>
  <si>
    <t>BMo</t>
  </si>
  <si>
    <t>k2b</t>
  </si>
  <si>
    <t>k2a</t>
  </si>
  <si>
    <t>t1n</t>
  </si>
  <si>
    <t>Luis Sanchez</t>
  </si>
  <si>
    <t>LSa</t>
  </si>
  <si>
    <t>Jude Luke</t>
  </si>
  <si>
    <t>JL</t>
  </si>
  <si>
    <t>th1a</t>
  </si>
  <si>
    <t>Soley Olafsson</t>
  </si>
  <si>
    <t>SO</t>
  </si>
  <si>
    <t>wc</t>
  </si>
  <si>
    <t>n1</t>
  </si>
  <si>
    <t>n3</t>
  </si>
  <si>
    <t>Ruby Chung</t>
  </si>
  <si>
    <t>RCu</t>
  </si>
  <si>
    <t>d2a</t>
  </si>
  <si>
    <t>Libby Ho</t>
  </si>
  <si>
    <t>LH</t>
  </si>
  <si>
    <t>Leia Kessler</t>
  </si>
  <si>
    <t>LK</t>
  </si>
  <si>
    <t>Gabrielle Ramirez</t>
  </si>
  <si>
    <t>GRa</t>
  </si>
  <si>
    <t>PGY-2</t>
  </si>
  <si>
    <t>Anas Maqsood</t>
  </si>
  <si>
    <t>AM</t>
  </si>
  <si>
    <t>Edom Girma</t>
  </si>
  <si>
    <t>EGi</t>
  </si>
  <si>
    <t>Jacqueline Penn</t>
  </si>
  <si>
    <t>JPe</t>
  </si>
  <si>
    <t>Christopher Connolly</t>
  </si>
  <si>
    <t>CC</t>
  </si>
  <si>
    <t>R</t>
  </si>
  <si>
    <t>Eilish Moogan</t>
  </si>
  <si>
    <t>EMo</t>
  </si>
  <si>
    <t>P</t>
  </si>
  <si>
    <t>E</t>
  </si>
  <si>
    <t>Jason Martinez</t>
  </si>
  <si>
    <t>JMr</t>
  </si>
  <si>
    <t>G</t>
  </si>
  <si>
    <t>Paul Capobianco</t>
  </si>
  <si>
    <t>PCa</t>
  </si>
  <si>
    <t>Y</t>
  </si>
  <si>
    <t>JiMin Ko</t>
  </si>
  <si>
    <t>JK</t>
  </si>
  <si>
    <t>Lauren Chung</t>
  </si>
  <si>
    <t>LCh</t>
  </si>
  <si>
    <t>A</t>
  </si>
  <si>
    <t>Nicholas Friedman</t>
  </si>
  <si>
    <t>NFr</t>
  </si>
  <si>
    <t>PGY-3</t>
  </si>
  <si>
    <t>Nir Lavi-Romer</t>
  </si>
  <si>
    <t>NLa</t>
  </si>
  <si>
    <t>D1</t>
  </si>
  <si>
    <t>D3</t>
  </si>
  <si>
    <t>D4</t>
  </si>
  <si>
    <t>NF</t>
  </si>
  <si>
    <t>T1N</t>
  </si>
  <si>
    <t>BKA</t>
  </si>
  <si>
    <t>Spencer Evan</t>
  </si>
  <si>
    <t>MICU</t>
  </si>
  <si>
    <t>BKN / V</t>
  </si>
  <si>
    <t>ED</t>
  </si>
  <si>
    <t>PB2</t>
  </si>
  <si>
    <t>BK2</t>
  </si>
  <si>
    <t>BK9</t>
  </si>
  <si>
    <t>Amy Tan</t>
  </si>
  <si>
    <t>ATa</t>
  </si>
  <si>
    <t>T1a</t>
  </si>
  <si>
    <t>PT2</t>
  </si>
  <si>
    <t>D1a</t>
  </si>
  <si>
    <t>Colin Baylen</t>
  </si>
  <si>
    <t>CBy</t>
  </si>
  <si>
    <t>D3p</t>
  </si>
  <si>
    <t>Jonathan (Jake) Rost</t>
  </si>
  <si>
    <t>JR</t>
  </si>
  <si>
    <t>D5</t>
  </si>
  <si>
    <t>T1p</t>
  </si>
  <si>
    <t>Matthew Generoso</t>
  </si>
  <si>
    <t>MGe</t>
  </si>
  <si>
    <t>Nick Jakupco</t>
  </si>
  <si>
    <t>NJa</t>
  </si>
  <si>
    <t>PT12</t>
  </si>
  <si>
    <t>Sophie Karwoska Kligler</t>
  </si>
  <si>
    <t>SKr</t>
  </si>
  <si>
    <t>Viren Lad</t>
  </si>
  <si>
    <t>VLa</t>
  </si>
  <si>
    <t>Brian Chastain</t>
  </si>
  <si>
    <t>BCh</t>
  </si>
  <si>
    <t>Doug Martin</t>
  </si>
  <si>
    <t>V / BKN</t>
  </si>
  <si>
    <t>Kayla Diedrick</t>
  </si>
  <si>
    <t>Tox-H</t>
  </si>
  <si>
    <t>PGY-4</t>
  </si>
  <si>
    <t xml:space="preserve">After </t>
  </si>
  <si>
    <t>Elie Nwefo</t>
  </si>
  <si>
    <t>EN</t>
  </si>
  <si>
    <t>D2p</t>
  </si>
  <si>
    <t>D2a</t>
  </si>
  <si>
    <t>PT4</t>
  </si>
  <si>
    <t>John Altavilla</t>
  </si>
  <si>
    <t>BKN / E-S</t>
  </si>
  <si>
    <t>PB4</t>
  </si>
  <si>
    <t>BKN</t>
  </si>
  <si>
    <t>N2</t>
  </si>
  <si>
    <t>Nicolas Gonzalez</t>
  </si>
  <si>
    <t>NG</t>
  </si>
  <si>
    <t>Sophia Faude</t>
  </si>
  <si>
    <t>SFa</t>
  </si>
  <si>
    <t>Philip Lin</t>
  </si>
  <si>
    <t>BKN / Elec</t>
  </si>
  <si>
    <t>Christopher Pham</t>
  </si>
  <si>
    <t>CPh</t>
  </si>
  <si>
    <t>Collins Mbachu</t>
  </si>
  <si>
    <t>CM</t>
  </si>
  <si>
    <t>Erica (Jacobs) Cohen</t>
  </si>
  <si>
    <t>EJa</t>
  </si>
  <si>
    <t>Mitchell Foster</t>
  </si>
  <si>
    <t>MF</t>
  </si>
  <si>
    <t>Natalie Bertrand</t>
  </si>
  <si>
    <t>NB</t>
  </si>
  <si>
    <t>Noumi Chowdhury</t>
  </si>
  <si>
    <t>NCh</t>
  </si>
  <si>
    <t>Somil Chugh</t>
  </si>
  <si>
    <t>SCh</t>
  </si>
  <si>
    <t>T110</t>
  </si>
  <si>
    <t>Vivian Chiu</t>
  </si>
  <si>
    <t>VC</t>
  </si>
  <si>
    <t>Annaliese Elam</t>
  </si>
  <si>
    <t>AEl</t>
  </si>
  <si>
    <t>Joonho Lee</t>
  </si>
  <si>
    <t>JoL</t>
  </si>
  <si>
    <t>PB12</t>
  </si>
  <si>
    <t>Marina Gaeta Gazzola</t>
  </si>
  <si>
    <t>MGa</t>
  </si>
  <si>
    <t>Nazanin Sarpoulaki</t>
  </si>
  <si>
    <t>NS</t>
  </si>
  <si>
    <t>Sarah Fetterolf</t>
  </si>
  <si>
    <t>Elec / BKN</t>
  </si>
  <si>
    <t>Adjunct Residents</t>
  </si>
  <si>
    <t>Phoebe Li</t>
  </si>
  <si>
    <t>PL</t>
  </si>
  <si>
    <t>Caroline Brown</t>
  </si>
  <si>
    <t>CB</t>
  </si>
  <si>
    <t>Courtney O'Connor</t>
  </si>
  <si>
    <t>CO</t>
  </si>
  <si>
    <t>Samantha Nakos</t>
  </si>
  <si>
    <t>SNa</t>
  </si>
  <si>
    <t>Neya Vishwanath</t>
  </si>
  <si>
    <t>NV</t>
  </si>
  <si>
    <t>Rachael Hanson</t>
  </si>
  <si>
    <t>CCU</t>
  </si>
  <si>
    <t>OSR/PGY1/PGY2 Schedule:</t>
  </si>
  <si>
    <t>PGY3 Schedule:</t>
  </si>
  <si>
    <t>PGY4 Schedule:</t>
  </si>
  <si>
    <t>Bellevue</t>
  </si>
  <si>
    <r>
      <rPr>
        <rFont val="Helvetica Neue"/>
        <b/>
        <color rgb="FFFF0000"/>
      </rPr>
      <t>WEEK</t>
    </r>
    <r>
      <rPr>
        <rFont val="Helvetica Neue"/>
        <b/>
        <color rgb="FFFF0000"/>
        <u/>
      </rPr>
      <t>END</t>
    </r>
  </si>
  <si>
    <t>Weekdays</t>
  </si>
  <si>
    <t>D1: Team 1 1pm-9pm</t>
  </si>
  <si>
    <t xml:space="preserve">D1: Team 1 8a - 8p </t>
  </si>
  <si>
    <t>D3: Team 3 11a - 9p (1p - 8p on Wed)</t>
  </si>
  <si>
    <t>D2a: Team 2 8a - 4p</t>
  </si>
  <si>
    <t xml:space="preserve">D2: Team 2 8a - 8p </t>
  </si>
  <si>
    <t>D4: Team 4 11a - 9p (1p - 8p on Wed)</t>
  </si>
  <si>
    <r>
      <rPr>
        <rFont val="Helvetica Neue"/>
        <color rgb="FFFF00FF"/>
      </rPr>
      <t>D2a (pink):</t>
    </r>
    <r>
      <rPr>
        <rFont val="Helvetica Neue"/>
        <color rgb="FFFF00FF"/>
      </rPr>
      <t xml:space="preserve"> morning report</t>
    </r>
  </si>
  <si>
    <t xml:space="preserve">D3: Team 3 8a - 8p </t>
  </si>
  <si>
    <t>D5: Team 5 11a - 9p (1p - 8p on Wed)</t>
  </si>
  <si>
    <t>D2p: Team 2 4p - 12a</t>
  </si>
  <si>
    <t>N1: Team 1 8p - 8a</t>
  </si>
  <si>
    <t>D5p: Team 5 2p - 12a</t>
  </si>
  <si>
    <t>N2: Team 2 1145p - 8a</t>
  </si>
  <si>
    <t>N2: Team 2 8p - 8a</t>
  </si>
  <si>
    <t>D1: Team 1 11a - 9p (1p - 8p on Wed)</t>
  </si>
  <si>
    <t>DT: 8a-4p Bellevue Teaching Shift</t>
  </si>
  <si>
    <t>N3: Team 3 8p - 8a</t>
  </si>
  <si>
    <t>NF: 9p - 7a (8p - 6a on Wed)</t>
  </si>
  <si>
    <t>DF: Day Float 8a-4p</t>
  </si>
  <si>
    <r>
      <rPr>
        <rFont val="Helvetica Neue"/>
        <b/>
        <color rgb="FF0000FF"/>
      </rPr>
      <t>WEEK</t>
    </r>
    <r>
      <rPr>
        <rFont val="Helvetica Neue"/>
        <b/>
        <color rgb="FF0000FF"/>
        <u/>
      </rPr>
      <t>DAY</t>
    </r>
  </si>
  <si>
    <t>Weekends</t>
  </si>
  <si>
    <t>DF: Day Float 12p-8p (Wednesday)</t>
  </si>
  <si>
    <t>D1: Team 1 12p - 10p (including Wed)</t>
  </si>
  <si>
    <t>D1a: Team 1 7a - 5p Sat, 8a-6p Sun</t>
  </si>
  <si>
    <t>NYU</t>
  </si>
  <si>
    <t>D2a: Team 2 8a - 7p (expected at LMR)</t>
  </si>
  <si>
    <t>D3p: Team 3 12p - 10p</t>
  </si>
  <si>
    <t>T1a: Tisch Team 1 (Blue Team) 8a - 4p</t>
  </si>
  <si>
    <t xml:space="preserve">D2b: T2 12p - 10p </t>
  </si>
  <si>
    <t>NF: 10p - 8a</t>
  </si>
  <si>
    <t>T1p: Tisch Team 1 (Blue Team) 4p - 12a</t>
  </si>
  <si>
    <t>D3: Team 3 12p - 10p (including Wed)</t>
  </si>
  <si>
    <t>T1N: Tisch Team 1 (Blue Team) 12a - 8a</t>
  </si>
  <si>
    <t xml:space="preserve">D4a: Team 4 8a - 7p </t>
  </si>
  <si>
    <t>T1a: Tisch Team 1 (Blue Team) 8a - 6p</t>
  </si>
  <si>
    <t>T2a: Kimmel Team 2 (Red Team) 8a - 4p</t>
  </si>
  <si>
    <t>D4: Team 4 2p - 12a</t>
  </si>
  <si>
    <t>T1p: Tisch Team 1 (Blue Team) 2p - 12a</t>
  </si>
  <si>
    <t>T2p: Kimmel Team 2 (Red Team) 4p - 12a</t>
  </si>
  <si>
    <t>D5: Team 5 2p - 12a</t>
  </si>
  <si>
    <t>T1N: Tisch Team 1 (Blue Team) 10p - 8a</t>
  </si>
  <si>
    <t>WC: Tisch/Kimmel Float 1p - 9p</t>
  </si>
  <si>
    <t>N1: Team 1 10p - 8a</t>
  </si>
  <si>
    <t>T2a: Kimmel Team 2 (Red Team) 8a - 6p</t>
  </si>
  <si>
    <t>TT: Tisch Teaching Shift 8a-4p</t>
  </si>
  <si>
    <t xml:space="preserve">N2a: Team 2 7p - 5a </t>
  </si>
  <si>
    <t>T2p: Kimmel Team 2 (Red Team) 2p - 12a</t>
  </si>
  <si>
    <t>TF: Tisch Float 8a - 4p</t>
  </si>
  <si>
    <t>N2b:  Team 2 10p - 8a</t>
  </si>
  <si>
    <t>KF: Kimmel Float 12p-8p</t>
  </si>
  <si>
    <t>N3: Team 3 10p - 8a</t>
  </si>
  <si>
    <t>KF: Kimmel Float 12p-10p</t>
  </si>
  <si>
    <t>PGY4 Peds:</t>
  </si>
  <si>
    <t>PGY3 Peds:</t>
  </si>
  <si>
    <t>PB8: PES 8a - 4p</t>
  </si>
  <si>
    <t>Weekday</t>
  </si>
  <si>
    <t>PB8: PES 8a - 6p</t>
  </si>
  <si>
    <t>PT/PB12: PECC/PES 12p - 8p (Tuesdays)</t>
  </si>
  <si>
    <r>
      <rPr>
        <rFont val="Helvetica Neue"/>
        <color theme="1"/>
      </rPr>
      <t>TH Team 1 Junior A (</t>
    </r>
    <r>
      <rPr>
        <rFont val="Helvetica Neue"/>
        <b/>
        <color theme="1"/>
      </rPr>
      <t>TH1a</t>
    </r>
    <r>
      <rPr>
        <rFont val="Helvetica Neue"/>
        <color theme="1"/>
      </rPr>
      <t>) = Blue Team 8a - 6p</t>
    </r>
  </si>
  <si>
    <t>PB2: PES 2p - 12a</t>
  </si>
  <si>
    <t>PB2: PES 2p - 12a (weekend)</t>
  </si>
  <si>
    <r>
      <rPr>
        <rFont val="Helvetica Neue"/>
        <color theme="1"/>
      </rPr>
      <t>TH Team 1 Junior B (</t>
    </r>
    <r>
      <rPr>
        <rFont val="Helvetica Neue"/>
        <b/>
        <color theme="1"/>
      </rPr>
      <t>TH1b</t>
    </r>
    <r>
      <rPr>
        <rFont val="Helvetica Neue"/>
        <color theme="1"/>
      </rPr>
      <t>) = Blue Team 2p-12a</t>
    </r>
  </si>
  <si>
    <t>PT8: PECC 8a - 6p</t>
  </si>
  <si>
    <t>PB4: PES 4p - 12a</t>
  </si>
  <si>
    <r>
      <rPr>
        <rFont val="Helvetica Neue"/>
        <color theme="1"/>
      </rPr>
      <t>TH Team 1 Junior C (</t>
    </r>
    <r>
      <rPr>
        <rFont val="Helvetica Neue"/>
        <b/>
        <color theme="1"/>
      </rPr>
      <t>TH1c</t>
    </r>
    <r>
      <rPr>
        <rFont val="Helvetica Neue"/>
        <color theme="1"/>
      </rPr>
      <t>) = Blue Team 10a-8p</t>
    </r>
  </si>
  <si>
    <t>PT2: PECC  2p - 12a</t>
  </si>
  <si>
    <t>PT8: PECC 8a - 4p</t>
  </si>
  <si>
    <r>
      <rPr>
        <rFont val="Helvetica Neue"/>
        <color theme="1"/>
      </rPr>
      <t>TH Team 1 Junior Night (</t>
    </r>
    <r>
      <rPr>
        <rFont val="Helvetica Neue"/>
        <b/>
        <color theme="1"/>
      </rPr>
      <t>T1N</t>
    </r>
    <r>
      <rPr>
        <rFont val="Helvetica Neue"/>
        <color theme="1"/>
      </rPr>
      <t>) = Blue Night 8p - 6a</t>
    </r>
  </si>
  <si>
    <t>PT/PB12: PECC/PES 12p - 10p (Tuesdays)</t>
  </si>
  <si>
    <t>PT2: PECC 2p - 12a (weekend)</t>
  </si>
  <si>
    <r>
      <rPr>
        <rFont val="Helvetica Neue"/>
        <color theme="1"/>
      </rPr>
      <t>TH Team 1 Junior Night (</t>
    </r>
    <r>
      <rPr>
        <rFont val="Helvetica Neue"/>
        <b/>
        <color theme="1"/>
      </rPr>
      <t>T1N</t>
    </r>
    <r>
      <rPr>
        <rFont val="Helvetica Neue"/>
        <color theme="1"/>
      </rPr>
      <t>) = Blue Night 7:45p - 6a (Wednesday)</t>
    </r>
  </si>
  <si>
    <t>PT9: PECC 9a-7p</t>
  </si>
  <si>
    <t>PT4: PECC 4p - 12a</t>
  </si>
  <si>
    <r>
      <rPr>
        <rFont val="Helvetica Neue"/>
        <color theme="1"/>
      </rPr>
      <t>Kimmel Team 2 Junior A (</t>
    </r>
    <r>
      <rPr>
        <rFont val="Helvetica Neue"/>
        <b/>
        <color theme="1"/>
      </rPr>
      <t>K2a</t>
    </r>
    <r>
      <rPr>
        <rFont val="Helvetica Neue"/>
        <color theme="1"/>
      </rPr>
      <t>) = Red Team 8a - 6p</t>
    </r>
  </si>
  <si>
    <t>PGY3 Brooklyn:</t>
  </si>
  <si>
    <t>PT9: PECC 9a-5p</t>
  </si>
  <si>
    <r>
      <rPr>
        <rFont val="Helvetica Neue"/>
        <color theme="1"/>
      </rPr>
      <t>Kimmel Team 2 Junior A (</t>
    </r>
    <r>
      <rPr>
        <rFont val="Helvetica Neue"/>
        <b/>
        <color theme="1"/>
      </rPr>
      <t>K2b</t>
    </r>
    <r>
      <rPr>
        <rFont val="Helvetica Neue"/>
        <color theme="1"/>
      </rPr>
      <t>) = Red Team 2p-12a</t>
    </r>
  </si>
  <si>
    <t>BK9: Brooklyn 9a-7p</t>
  </si>
  <si>
    <t>PT`10: PECC 10a-6p</t>
  </si>
  <si>
    <t>BK2: Brooklyn 2p-12a</t>
  </si>
  <si>
    <t>PT11: PECC 11a-7p</t>
  </si>
  <si>
    <r>
      <rPr>
        <rFont val="Helvetica Neue"/>
        <color theme="1"/>
      </rPr>
      <t>TH Team 1 Junior A (</t>
    </r>
    <r>
      <rPr>
        <rFont val="Helvetica Neue"/>
        <b/>
        <color theme="1"/>
      </rPr>
      <t>TH1a</t>
    </r>
    <r>
      <rPr>
        <rFont val="Helvetica Neue"/>
        <color theme="1"/>
      </rPr>
      <t>) = Blue Team 8a - 8p</t>
    </r>
  </si>
  <si>
    <t>BKA: Brooklyn A-side 10a-8p</t>
  </si>
  <si>
    <t>PGY4 Brooklyn:</t>
  </si>
  <si>
    <r>
      <rPr>
        <rFont val="Helvetica Neue"/>
        <color theme="1"/>
      </rPr>
      <t>Kimmel Team 2 Junior A (</t>
    </r>
    <r>
      <rPr>
        <rFont val="Helvetica Neue"/>
        <b/>
        <color theme="1"/>
      </rPr>
      <t>K2a</t>
    </r>
    <r>
      <rPr>
        <rFont val="Helvetica Neue"/>
        <color theme="1"/>
      </rPr>
      <t>) = Red Team 8a - 8p</t>
    </r>
  </si>
  <si>
    <t>BKN: Brooklyn night 8p-6a</t>
  </si>
  <si>
    <r>
      <rPr>
        <rFont val="Helvetica Neue"/>
        <color theme="1"/>
      </rPr>
      <t>TH Team 1 Night (</t>
    </r>
    <r>
      <rPr>
        <rFont val="Helvetica Neue"/>
        <b/>
        <color theme="1"/>
      </rPr>
      <t>T1N</t>
    </r>
    <r>
      <rPr>
        <rFont val="Helvetica Neue"/>
        <color theme="1"/>
      </rPr>
      <t>) = Blue Team 8p - 8a</t>
    </r>
  </si>
  <si>
    <t>Peds:</t>
  </si>
  <si>
    <t>PB/PT9: PES/PECC 9p - 7p</t>
  </si>
  <si>
    <t>PB/PT12: PES/PECC 12 - 10p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</si>
  <si>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</si>
  <si>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</si>
  <si>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</si>
  <si>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</si>
  <si>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</si>
  <si>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</si>
  <si>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</si>
  <si>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</si>
  <si>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</si>
  <si>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</si>
  <si>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</si>
  <si>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</si>
  <si>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</si>
  <si>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</si>
  <si>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</si>
  <si>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</si>
  <si>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</si>
  <si>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</si>
  <si>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</si>
  <si>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</si>
  <si>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</si>
  <si>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</si>
  <si>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</si>
  <si>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</si>
  <si>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</si>
  <si>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</si>
  <si>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Logan Brich</t>
  </si>
  <si>
    <t>O</t>
  </si>
  <si>
    <t>SICU</t>
  </si>
  <si>
    <t>PSY</t>
  </si>
  <si>
    <t>V</t>
  </si>
  <si>
    <t>TH</t>
  </si>
  <si>
    <t>AnUS</t>
  </si>
  <si>
    <t>BH</t>
  </si>
  <si>
    <t>BK</t>
  </si>
  <si>
    <t>NICU</t>
  </si>
  <si>
    <t>PedT</t>
  </si>
  <si>
    <t>J</t>
  </si>
  <si>
    <t>PedB</t>
  </si>
  <si>
    <t>Jenna Ehlert</t>
  </si>
  <si>
    <t>Grace Feng</t>
  </si>
  <si>
    <t>Gabriel Luce</t>
  </si>
  <si>
    <t>Liam Mcloughlin</t>
  </si>
  <si>
    <t>Miray Mirham</t>
  </si>
  <si>
    <t>Michelle Safransky</t>
  </si>
  <si>
    <t>Samanta Torres Bertorelli</t>
  </si>
  <si>
    <t>Key: Name and Location</t>
  </si>
  <si>
    <t>O: Orientation</t>
  </si>
  <si>
    <t>BH: Bellevue ED (BH)</t>
  </si>
  <si>
    <t>TH: Tisch ED (TH)</t>
  </si>
  <si>
    <t>BK: NYU Brooklyn ED</t>
  </si>
  <si>
    <t>PedB: Bellevue Pediatrics (BH)</t>
  </si>
  <si>
    <t>PedT: NYU Peds ED (TH)</t>
  </si>
  <si>
    <t>M: Medicine (BH)</t>
  </si>
  <si>
    <t>MICU: Medical ICU (BH/TH)</t>
  </si>
  <si>
    <t>SICU: Surgical ICU (BH)</t>
  </si>
  <si>
    <t>T: Trauma (BH)</t>
  </si>
  <si>
    <t>NICU: Neonatal ICU (TH)</t>
  </si>
  <si>
    <t>CPEP (PSY): (BH/TH)</t>
  </si>
  <si>
    <t>J: Jeopardy (Sick Call)</t>
  </si>
  <si>
    <t>AnUs: Anesthesia and Ultrasound (BH/TH)</t>
  </si>
  <si>
    <t>V: Vacation</t>
  </si>
  <si>
    <t>BH/TH</t>
  </si>
  <si>
    <t>EMS</t>
  </si>
  <si>
    <t>Ob</t>
  </si>
  <si>
    <t>Ortho</t>
  </si>
  <si>
    <t>Avery Tamakloe</t>
  </si>
  <si>
    <t>Dave Youssef</t>
  </si>
  <si>
    <t>Madison Polay</t>
  </si>
  <si>
    <t>Nicholas Vecchio</t>
  </si>
  <si>
    <t>Nick Scott</t>
  </si>
  <si>
    <t>Rachana Chilakapati</t>
  </si>
  <si>
    <t>Rachel Friend</t>
  </si>
  <si>
    <t>BH/TH: Bellevue and Tisch ED</t>
  </si>
  <si>
    <t>Peds: Bellevue Peds ED (PES)</t>
  </si>
  <si>
    <t>Ortho: Bellevue Ortho Consult (BH)</t>
  </si>
  <si>
    <t>OB: Obstetrics Nights (TH)</t>
  </si>
  <si>
    <t>CCU: Cardiac Critical Care (BH)</t>
  </si>
  <si>
    <t>EMS: Emergency Medical Services (FDNY)</t>
  </si>
  <si>
    <t>Elec</t>
  </si>
  <si>
    <t>PICU</t>
  </si>
  <si>
    <t>Tox-SC</t>
  </si>
  <si>
    <t>CH</t>
  </si>
  <si>
    <t>Hand</t>
  </si>
  <si>
    <t>Douglas Martin</t>
  </si>
  <si>
    <t>Elaine Jonas</t>
  </si>
  <si>
    <t>Mac Josh Reandelar</t>
  </si>
  <si>
    <t>Milos Tomovic</t>
  </si>
  <si>
    <t>Spencer Evans</t>
  </si>
  <si>
    <t>Brooklyn</t>
  </si>
  <si>
    <t>Medical ICU</t>
  </si>
  <si>
    <t>Elective</t>
  </si>
  <si>
    <t>Peds ICU</t>
  </si>
  <si>
    <t xml:space="preserve">Tox/Sick Call </t>
  </si>
  <si>
    <t xml:space="preserve">Tox Heavy </t>
  </si>
  <si>
    <t xml:space="preserve">Cobble Hill </t>
  </si>
  <si>
    <t xml:space="preserve">Vacation </t>
  </si>
  <si>
    <t>7/1-7/7</t>
  </si>
  <si>
    <t>E-S</t>
  </si>
  <si>
    <t>ED/V</t>
  </si>
  <si>
    <t>V/Elec</t>
  </si>
  <si>
    <t>Elec/ED</t>
  </si>
  <si>
    <t>Hand/Elec</t>
  </si>
  <si>
    <t xml:space="preserve">Elective </t>
  </si>
  <si>
    <t xml:space="preserve">Brooklyn </t>
  </si>
  <si>
    <t>Elective/Sick Call</t>
  </si>
  <si>
    <t>Off service rotator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</si>
</sst>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"/>
  </numFmts>
  <fonts count="36">
    <font>
      <sz val="10.0"/>
      <color rgb="FF000000"/>
      <name val="Helvetica Neue"/>
      <scheme val="minor"/>
    </font>
    <font>
      <u/>
      <color rgb="FF0000FF"/>
      <name val="&quot;Helvetica Neue&quot;"/>
    </font>
    <font>
      <color theme="1"/>
      <name val="&quot;Helvetica Neue&quot;"/>
    </font>
    <font>
      <b/>
      <color theme="1"/>
      <name val="&quot;Helvetica Neue&quot;"/>
    </font>
    <font>
      <color theme="1"/>
      <name val="Arial"/>
    </font>
    <font>
      <color rgb="FF000000"/>
      <name val="Arial"/>
    </font>
    <font>
      <sz val="9.0"/>
      <color rgb="FFFFFFFF"/>
      <name val="Arial"/>
    </font>
    <font>
      <b/>
      <color rgb="FF000000"/>
      <name val="Arial"/>
    </font>
    <font>
      <b/>
      <u/>
      <color theme="1"/>
      <name val="Arial"/>
    </font>
    <font>
      <b/>
      <u/>
      <color rgb="FF000000"/>
      <name val="Arial"/>
    </font>
    <font>
      <b/>
      <color theme="1"/>
      <name val="Arial"/>
    </font>
    <font>
      <color rgb="FF000000"/>
      <name val="&quot;\&quot;\\\&quot;Helvetica Neue\\\&quot;\&quot;&quot;"/>
    </font>
    <font>
      <b/>
      <u/>
      <color theme="1"/>
      <name val="Arial"/>
    </font>
    <font>
      <b/>
      <u/>
      <color theme="1"/>
      <name val="&quot;Helvetica Neue&quot;"/>
    </font>
    <font>
      <b/>
      <u/>
      <color theme="1"/>
      <name val="&quot;Helvetica Neue&quot;"/>
    </font>
    <font>
      <color theme="1"/>
      <name val="Helvetica Neue"/>
      <scheme val="minor"/>
    </font>
    <font>
      <sz val="9.0"/>
      <color rgb="FF0000FF"/>
      <name val="Arial"/>
    </font>
    <font>
      <b/>
      <u/>
      <color theme="1"/>
      <name val="Arial"/>
    </font>
    <font>
      <sz val="9.0"/>
      <color rgb="FF000000"/>
      <name val="&quot;\&quot;Helvetica Neue\&quot;&quot;"/>
    </font>
    <font>
      <sz val="9.0"/>
      <color rgb="FF000000"/>
      <name val="Arial"/>
    </font>
    <font>
      <color theme="1"/>
      <name val="Helvetica Neue"/>
    </font>
    <font>
      <sz val="9.0"/>
      <color theme="1"/>
      <name val="Arial"/>
    </font>
    <font>
      <color rgb="FF0000FF"/>
      <name val="Helvetica Neue"/>
    </font>
    <font>
      <b/>
      <color rgb="FFFFFF00"/>
      <name val="Pacifico"/>
    </font>
    <font>
      <color rgb="FF0000FF"/>
      <name val="Arial"/>
    </font>
    <font>
      <b/>
      <u/>
      <color rgb="FF000000"/>
      <name val="Arial"/>
    </font>
    <font>
      <sz val="10.0"/>
      <color theme="1"/>
      <name val="Arial"/>
    </font>
    <font>
      <color rgb="FFFF00FF"/>
      <name val="Helvetica Neue"/>
    </font>
    <font>
      <color rgb="FFFF00FF"/>
      <name val="&quot;Helvetica Neue&quot;"/>
    </font>
    <font>
      <sz val="10.0"/>
      <color rgb="FF000000"/>
      <name val="Arial"/>
    </font>
    <font>
      <b/>
      <color theme="1"/>
      <name val="Helvetica Neue"/>
    </font>
    <font/>
    <font>
      <b/>
      <color rgb="FFFF0000"/>
      <name val="Helvetica Neue"/>
    </font>
    <font>
      <b/>
      <color theme="1"/>
      <name val="Helvetica Neue"/>
      <scheme val="minor"/>
    </font>
    <font>
      <b/>
      <color rgb="FFFFFFFF"/>
      <name val="Arial"/>
    </font>
    <font>
      <color rgb="FF000000"/>
      <name val="Helvetica Neue"/>
      <scheme val="minor"/>
    </font>
  </fonts>
  <fills count="5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83DCE3"/>
        <bgColor rgb="FF83DCE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4CDFF"/>
        <bgColor rgb="FFE4CD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BBC04"/>
        <bgColor rgb="FFFBBC0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E46B6"/>
        <bgColor rgb="FFEE46B6"/>
      </patternFill>
    </fill>
    <fill>
      <patternFill patternType="solid">
        <fgColor rgb="FFB7E1CD"/>
        <bgColor rgb="FFB7E1CD"/>
      </patternFill>
    </fill>
    <fill>
      <patternFill patternType="solid">
        <fgColor theme="8"/>
        <bgColor theme="8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  <fill>
      <patternFill patternType="solid">
        <fgColor rgb="FF4285F4"/>
        <bgColor rgb="FF4285F4"/>
      </patternFill>
    </fill>
    <fill>
      <patternFill patternType="solid">
        <fgColor rgb="FFB7B7B7"/>
        <bgColor rgb="FFB7B7B7"/>
      </patternFill>
    </fill>
    <fill>
      <patternFill patternType="solid">
        <fgColor rgb="FF0B8043"/>
        <bgColor rgb="FF0B8043"/>
      </patternFill>
    </fill>
    <fill>
      <patternFill patternType="solid">
        <fgColor rgb="FFE96C92"/>
        <bgColor rgb="FFE96C92"/>
      </patternFill>
    </fill>
    <fill>
      <patternFill patternType="solid">
        <fgColor rgb="FFA5D4FF"/>
        <bgColor rgb="FFA5D4FF"/>
      </patternFill>
    </fill>
    <fill>
      <patternFill patternType="solid">
        <fgColor theme="9"/>
        <bgColor theme="9"/>
      </patternFill>
    </fill>
    <fill>
      <patternFill patternType="solid">
        <fgColor rgb="FF00CFFF"/>
        <bgColor rgb="FF00CFFF"/>
      </patternFill>
    </fill>
    <fill>
      <patternFill patternType="solid">
        <fgColor rgb="FFFF9696"/>
        <bgColor rgb="FFFF9696"/>
      </patternFill>
    </fill>
    <fill>
      <patternFill patternType="solid">
        <fgColor rgb="FFE8FB04"/>
        <bgColor rgb="FFE8FB04"/>
      </patternFill>
    </fill>
    <fill>
      <patternFill patternType="solid">
        <fgColor rgb="FFA897DA"/>
        <bgColor rgb="FFA897DA"/>
      </patternFill>
    </fill>
    <fill>
      <patternFill patternType="solid">
        <fgColor rgb="FFFEC8F3"/>
        <bgColor rgb="FFFEC8F3"/>
      </patternFill>
    </fill>
    <fill>
      <patternFill patternType="solid">
        <fgColor rgb="FFE3F7AC"/>
        <bgColor rgb="FFE3F7AC"/>
      </patternFill>
    </fill>
    <fill>
      <patternFill patternType="solid">
        <fgColor rgb="FFE6C6EF"/>
        <bgColor rgb="FFE6C6EF"/>
      </patternFill>
    </fill>
    <fill>
      <patternFill patternType="solid">
        <fgColor rgb="FFFF99EB"/>
        <bgColor rgb="FFFF99EB"/>
      </patternFill>
    </fill>
    <fill>
      <patternFill patternType="solid">
        <fgColor rgb="FFDD7E6B"/>
        <bgColor rgb="FFDD7E6B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Border="1" applyFont="1"/>
    <xf borderId="1" fillId="2" fontId="2" numFmtId="0" xfId="0" applyBorder="1" applyFill="1" applyFont="1"/>
    <xf borderId="1" fillId="3" fontId="2" numFmtId="0" xfId="0" applyBorder="1" applyFill="1" applyFont="1"/>
    <xf borderId="2" fillId="3" fontId="2" numFmtId="0" xfId="0" applyBorder="1" applyFont="1"/>
    <xf borderId="0" fillId="4" fontId="3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5" fontId="4" numFmtId="0" xfId="0" applyAlignment="1" applyBorder="1" applyFill="1" applyFont="1">
      <alignment horizontal="center" shrinkToFit="0" wrapText="1"/>
    </xf>
    <xf borderId="1" fillId="6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6" fontId="5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shrinkToFit="0" wrapText="1"/>
    </xf>
    <xf borderId="1" fillId="6" fontId="5" numFmtId="0" xfId="0" applyAlignment="1" applyBorder="1" applyFont="1">
      <alignment horizontal="center" shrinkToFit="0" wrapText="1"/>
    </xf>
    <xf borderId="1" fillId="7" fontId="6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6" fontId="4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center" readingOrder="0" shrinkToFit="0" wrapText="1"/>
    </xf>
    <xf borderId="0" fillId="8" fontId="7" numFmtId="0" xfId="0" applyAlignment="1" applyFill="1" applyFont="1">
      <alignment vertical="bottom"/>
    </xf>
    <xf borderId="0" fillId="8" fontId="8" numFmtId="0" xfId="0" applyAlignment="1" applyFont="1">
      <alignment horizontal="center" readingOrder="0" vertical="bottom"/>
    </xf>
    <xf borderId="0" fillId="8" fontId="9" numFmtId="0" xfId="0" applyAlignment="1" applyFont="1">
      <alignment horizontal="center" vertical="bottom"/>
    </xf>
    <xf borderId="0" fillId="8" fontId="10" numFmtId="0" xfId="0" applyAlignment="1" applyFont="1">
      <alignment horizontal="center" vertical="bottom"/>
    </xf>
    <xf borderId="0" fillId="8" fontId="2" numFmtId="0" xfId="0" applyFont="1"/>
    <xf borderId="0" fillId="0" fontId="4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9" fontId="2" numFmtId="0" xfId="0" applyAlignment="1" applyFill="1" applyFont="1">
      <alignment vertical="bottom"/>
    </xf>
    <xf borderId="0" fillId="0" fontId="11" numFmtId="0" xfId="0" applyAlignment="1" applyFont="1">
      <alignment horizontal="center" readingOrder="0" shrinkToFit="0" vertical="bottom" wrapText="0"/>
    </xf>
    <xf borderId="0" fillId="10" fontId="11" numFmtId="0" xfId="0" applyAlignment="1" applyFill="1" applyFont="1">
      <alignment horizontal="center" readingOrder="0" shrinkToFit="0" vertical="bottom" wrapText="0"/>
    </xf>
    <xf borderId="0" fillId="2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6" fontId="11" numFmtId="0" xfId="0" applyAlignment="1" applyFont="1">
      <alignment horizontal="center" readingOrder="0" shrinkToFit="0" vertical="bottom" wrapText="0"/>
    </xf>
    <xf borderId="0" fillId="3" fontId="11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vertical="bottom"/>
    </xf>
    <xf borderId="0" fillId="8" fontId="10" numFmtId="0" xfId="0" applyAlignment="1" applyFont="1">
      <alignment vertical="bottom"/>
    </xf>
    <xf borderId="0" fillId="8" fontId="12" numFmtId="0" xfId="0" applyAlignment="1" applyFont="1">
      <alignment horizontal="center" vertical="bottom"/>
    </xf>
    <xf borderId="0" fillId="8" fontId="13" numFmtId="0" xfId="0" applyAlignment="1" applyFont="1">
      <alignment vertical="bottom"/>
    </xf>
    <xf borderId="0" fillId="8" fontId="14" numFmtId="0" xfId="0" applyAlignment="1" applyFont="1">
      <alignment horizontal="center" vertical="bottom"/>
    </xf>
    <xf borderId="0" fillId="8" fontId="2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9" fontId="4" numFmtId="0" xfId="0" applyAlignment="1" applyFont="1">
      <alignment horizontal="center" vertical="bottom"/>
    </xf>
    <xf borderId="0" fillId="0" fontId="16" numFmtId="0" xfId="0" applyAlignment="1" applyFont="1">
      <alignment horizontal="center" readingOrder="0" shrinkToFit="0" vertical="bottom" wrapText="0"/>
    </xf>
    <xf borderId="0" fillId="6" fontId="16" numFmtId="0" xfId="0" applyAlignment="1" applyFont="1">
      <alignment horizontal="center" readingOrder="0" shrinkToFit="0" vertical="bottom" wrapText="0"/>
    </xf>
    <xf borderId="0" fillId="10" fontId="16" numFmtId="0" xfId="0" applyAlignment="1" applyFont="1">
      <alignment horizontal="center" readingOrder="0" shrinkToFit="0" vertical="bottom" wrapText="0"/>
    </xf>
    <xf borderId="0" fillId="8" fontId="10" numFmtId="0" xfId="0" applyAlignment="1" applyFont="1">
      <alignment vertical="bottom"/>
    </xf>
    <xf borderId="0" fillId="8" fontId="17" numFmtId="0" xfId="0" applyAlignment="1" applyFont="1">
      <alignment horizontal="center" vertical="bottom"/>
    </xf>
    <xf borderId="0" fillId="8" fontId="18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19" numFmtId="0" xfId="0" applyAlignment="1" applyFont="1">
      <alignment horizontal="center" readingOrder="0" shrinkToFit="0" vertical="bottom" wrapText="0"/>
    </xf>
    <xf borderId="0" fillId="6" fontId="19" numFmtId="0" xfId="0" applyAlignment="1" applyFont="1">
      <alignment horizontal="center" readingOrder="0" shrinkToFit="0" vertical="bottom" wrapText="0"/>
    </xf>
    <xf borderId="0" fillId="10" fontId="19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11" fontId="21" numFmtId="0" xfId="0" applyAlignment="1" applyFill="1" applyFont="1">
      <alignment horizontal="center" vertical="bottom"/>
    </xf>
    <xf borderId="0" fillId="12" fontId="20" numFmtId="0" xfId="0" applyAlignment="1" applyFill="1" applyFont="1">
      <alignment vertical="bottom"/>
    </xf>
    <xf borderId="0" fillId="12" fontId="21" numFmtId="0" xfId="0" applyAlignment="1" applyFont="1">
      <alignment horizontal="center" vertical="bottom"/>
    </xf>
    <xf borderId="0" fillId="3" fontId="20" numFmtId="0" xfId="0" applyAlignment="1" applyFont="1">
      <alignment vertical="bottom"/>
    </xf>
    <xf borderId="0" fillId="12" fontId="22" numFmtId="0" xfId="0" applyAlignment="1" applyFont="1">
      <alignment vertical="bottom"/>
    </xf>
    <xf borderId="0" fillId="11" fontId="4" numFmtId="0" xfId="0" applyAlignment="1" applyFont="1">
      <alignment horizontal="center" vertical="bottom"/>
    </xf>
    <xf borderId="0" fillId="12" fontId="4" numFmtId="0" xfId="0" applyAlignment="1" applyFont="1">
      <alignment horizontal="center" vertical="bottom"/>
    </xf>
    <xf borderId="0" fillId="12" fontId="16" numFmtId="0" xfId="0" applyAlignment="1" applyFont="1">
      <alignment horizontal="center" vertical="bottom"/>
    </xf>
    <xf borderId="0" fillId="13" fontId="23" numFmtId="0" xfId="0" applyAlignment="1" applyFill="1" applyFont="1">
      <alignment horizontal="center" readingOrder="0" shrinkToFit="0" vertical="bottom" wrapText="0"/>
    </xf>
    <xf borderId="0" fillId="8" fontId="10" numFmtId="0" xfId="0" applyAlignment="1" applyFont="1">
      <alignment vertical="bottom"/>
    </xf>
    <xf borderId="0" fillId="11" fontId="20" numFmtId="0" xfId="0" applyAlignment="1" applyFont="1">
      <alignment vertical="bottom"/>
    </xf>
    <xf borderId="0" fillId="14" fontId="4" numFmtId="0" xfId="0" applyAlignment="1" applyFill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10" fontId="20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9" fontId="4" numFmtId="0" xfId="0" applyAlignment="1" applyFont="1">
      <alignment horizontal="center" readingOrder="0" vertical="bottom"/>
    </xf>
    <xf borderId="0" fillId="6" fontId="20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14" fontId="20" numFmtId="0" xfId="0" applyAlignment="1" applyFont="1">
      <alignment vertical="bottom"/>
    </xf>
    <xf borderId="0" fillId="12" fontId="20" numFmtId="0" xfId="0" applyAlignment="1" applyFont="1">
      <alignment readingOrder="0" vertical="bottom"/>
    </xf>
    <xf borderId="0" fillId="15" fontId="20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15" fontId="4" numFmtId="0" xfId="0" applyAlignment="1" applyFont="1">
      <alignment horizontal="center" readingOrder="0" vertical="bottom"/>
    </xf>
    <xf borderId="0" fillId="12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0" fillId="16" fontId="20" numFmtId="0" xfId="0" applyAlignment="1" applyFill="1" applyFont="1">
      <alignment readingOrder="0" vertical="bottom"/>
    </xf>
    <xf borderId="0" fillId="15" fontId="4" numFmtId="0" xfId="0" applyAlignment="1" applyFont="1">
      <alignment horizontal="center" vertical="bottom"/>
    </xf>
    <xf borderId="0" fillId="12" fontId="22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12" fontId="24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10" fontId="20" numFmtId="0" xfId="0" applyAlignment="1" applyFont="1">
      <alignment vertical="bottom"/>
    </xf>
    <xf borderId="0" fillId="0" fontId="20" numFmtId="0" xfId="0" applyAlignment="1" applyFont="1">
      <alignment horizontal="left" readingOrder="0" vertical="bottom"/>
    </xf>
    <xf borderId="0" fillId="0" fontId="15" numFmtId="0" xfId="0" applyFont="1"/>
    <xf borderId="0" fillId="8" fontId="7" numFmtId="0" xfId="0" applyAlignment="1" applyFont="1">
      <alignment readingOrder="0" vertical="bottom"/>
    </xf>
    <xf borderId="0" fillId="8" fontId="25" numFmtId="0" xfId="0" applyAlignment="1" applyFont="1">
      <alignment horizontal="center" readingOrder="0" vertical="bottom"/>
    </xf>
    <xf borderId="0" fillId="8" fontId="20" numFmtId="0" xfId="0" applyAlignment="1" applyFont="1">
      <alignment vertical="bottom"/>
    </xf>
    <xf borderId="0" fillId="8" fontId="2" numFmtId="0" xfId="0" applyAlignment="1" applyFont="1">
      <alignment readingOrder="0"/>
    </xf>
    <xf borderId="0" fillId="0" fontId="26" numFmtId="0" xfId="0" applyAlignment="1" applyFont="1">
      <alignment horizontal="center" readingOrder="0" vertical="bottom"/>
    </xf>
    <xf borderId="0" fillId="12" fontId="20" numFmtId="0" xfId="0" applyAlignment="1" applyFont="1">
      <alignment horizontal="center" vertical="bottom"/>
    </xf>
    <xf borderId="0" fillId="15" fontId="20" numFmtId="0" xfId="0" applyAlignment="1" applyFont="1">
      <alignment horizontal="center" readingOrder="0" vertical="bottom"/>
    </xf>
    <xf borderId="0" fillId="14" fontId="20" numFmtId="0" xfId="0" applyAlignment="1" applyFont="1">
      <alignment horizontal="center" vertical="bottom"/>
    </xf>
    <xf borderId="0" fillId="17" fontId="4" numFmtId="0" xfId="0" applyAlignment="1" applyFill="1" applyFont="1">
      <alignment horizontal="center" vertical="bottom"/>
    </xf>
    <xf borderId="0" fillId="17" fontId="27" numFmtId="0" xfId="0" applyAlignment="1" applyFont="1">
      <alignment horizontal="center" vertical="bottom"/>
    </xf>
    <xf borderId="0" fillId="16" fontId="20" numFmtId="0" xfId="0" applyAlignment="1" applyFont="1">
      <alignment horizontal="center" vertical="bottom"/>
    </xf>
    <xf borderId="0" fillId="10" fontId="2" numFmtId="0" xfId="0" applyAlignment="1" applyFont="1">
      <alignment horizontal="center" readingOrder="0" vertical="bottom"/>
    </xf>
    <xf borderId="0" fillId="15" fontId="20" numFmtId="0" xfId="0" applyAlignment="1" applyFont="1">
      <alignment horizontal="center" vertical="bottom"/>
    </xf>
    <xf borderId="0" fillId="18" fontId="20" numFmtId="0" xfId="0" applyAlignment="1" applyFill="1" applyFont="1">
      <alignment vertical="bottom"/>
    </xf>
    <xf borderId="0" fillId="0" fontId="20" numFmtId="0" xfId="0" applyAlignment="1" applyFont="1">
      <alignment vertical="bottom"/>
    </xf>
    <xf borderId="0" fillId="13" fontId="11" numFmtId="0" xfId="0" applyAlignment="1" applyFont="1">
      <alignment horizontal="center" readingOrder="0" shrinkToFit="0" vertical="bottom" wrapText="0"/>
    </xf>
    <xf borderId="0" fillId="12" fontId="20" numFmtId="0" xfId="0" applyAlignment="1" applyFont="1">
      <alignment horizontal="center" readingOrder="0" vertical="bottom"/>
    </xf>
    <xf borderId="0" fillId="11" fontId="20" numFmtId="0" xfId="0" applyAlignment="1" applyFont="1">
      <alignment horizontal="center" vertical="bottom"/>
    </xf>
    <xf borderId="0" fillId="17" fontId="20" numFmtId="0" xfId="0" applyAlignment="1" applyFont="1">
      <alignment horizontal="center" vertical="bottom"/>
    </xf>
    <xf borderId="0" fillId="16" fontId="20" numFmtId="0" xfId="0" applyAlignment="1" applyFont="1">
      <alignment vertical="bottom"/>
    </xf>
    <xf borderId="0" fillId="0" fontId="20" numFmtId="0" xfId="0" applyAlignment="1" applyFont="1">
      <alignment horizontal="center" readingOrder="0" vertical="bottom"/>
    </xf>
    <xf borderId="0" fillId="0" fontId="28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17" fontId="4" numFmtId="0" xfId="0" applyAlignment="1" applyFont="1">
      <alignment horizontal="center" readingOrder="0" vertical="bottom"/>
    </xf>
    <xf borderId="0" fillId="18" fontId="11" numFmtId="0" xfId="0" applyAlignment="1" applyFont="1">
      <alignment horizontal="center" readingOrder="0" shrinkToFit="0" vertical="bottom" wrapText="0"/>
    </xf>
    <xf borderId="0" fillId="8" fontId="2" numFmtId="0" xfId="0" applyAlignment="1" applyFont="1">
      <alignment horizontal="center" readingOrder="0" vertical="center"/>
    </xf>
    <xf borderId="0" fillId="0" fontId="29" numFmtId="0" xfId="0" applyAlignment="1" applyFont="1">
      <alignment horizontal="center"/>
    </xf>
    <xf borderId="0" fillId="0" fontId="11" numFmtId="0" xfId="0" applyAlignment="1" applyFont="1">
      <alignment shrinkToFit="0" vertical="bottom" wrapText="0"/>
    </xf>
    <xf borderId="0" fillId="6" fontId="11" numFmtId="0" xfId="0" applyAlignment="1" applyFont="1">
      <alignment shrinkToFit="0" vertical="bottom" wrapText="0"/>
    </xf>
    <xf borderId="0" fillId="10" fontId="11" numFmtId="0" xfId="0" applyAlignment="1" applyFont="1">
      <alignment shrinkToFit="0" vertical="bottom" wrapText="0"/>
    </xf>
    <xf borderId="3" fillId="3" fontId="11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vertical="bottom"/>
    </xf>
    <xf borderId="3" fillId="0" fontId="29" numFmtId="0" xfId="0" applyAlignment="1" applyBorder="1" applyFont="1">
      <alignment horizontal="center"/>
    </xf>
    <xf borderId="3" fillId="9" fontId="4" numFmtId="0" xfId="0" applyAlignment="1" applyBorder="1" applyFont="1">
      <alignment horizontal="center" vertical="bottom"/>
    </xf>
    <xf borderId="3" fillId="0" fontId="11" numFmtId="0" xfId="0" applyAlignment="1" applyBorder="1" applyFont="1">
      <alignment shrinkToFit="0" vertical="bottom" wrapText="0"/>
    </xf>
    <xf borderId="3" fillId="6" fontId="11" numFmtId="0" xfId="0" applyAlignment="1" applyBorder="1" applyFont="1">
      <alignment shrinkToFit="0" vertical="bottom" wrapText="0"/>
    </xf>
    <xf borderId="3" fillId="6" fontId="11" numFmtId="0" xfId="0" applyAlignment="1" applyBorder="1" applyFont="1">
      <alignment horizontal="center" readingOrder="0" shrinkToFit="0" vertical="bottom" wrapText="0"/>
    </xf>
    <xf borderId="0" fillId="10" fontId="11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vertical="bottom"/>
    </xf>
    <xf borderId="4" fillId="9" fontId="30" numFmtId="0" xfId="0" applyAlignment="1" applyBorder="1" applyFont="1">
      <alignment vertical="bottom"/>
    </xf>
    <xf borderId="3" fillId="0" fontId="31" numFmtId="0" xfId="0" applyBorder="1" applyFont="1"/>
    <xf borderId="5" fillId="0" fontId="31" numFmtId="0" xfId="0" applyBorder="1" applyFont="1"/>
    <xf borderId="4" fillId="9" fontId="30" numFmtId="0" xfId="0" applyAlignment="1" applyBorder="1" applyFont="1">
      <alignment vertical="bottom"/>
    </xf>
    <xf borderId="6" fillId="19" fontId="30" numFmtId="0" xfId="0" applyAlignment="1" applyBorder="1" applyFill="1" applyFont="1">
      <alignment vertical="bottom"/>
    </xf>
    <xf borderId="7" fillId="0" fontId="31" numFmtId="0" xfId="0" applyBorder="1" applyFont="1"/>
    <xf borderId="6" fillId="19" fontId="30" numFmtId="0" xfId="0" applyAlignment="1" applyBorder="1" applyFont="1">
      <alignment vertical="bottom"/>
    </xf>
    <xf borderId="6" fillId="20" fontId="32" numFmtId="0" xfId="0" applyAlignment="1" applyBorder="1" applyFill="1" applyFont="1">
      <alignment vertical="bottom"/>
    </xf>
    <xf borderId="6" fillId="20" fontId="30" numFmtId="0" xfId="0" applyAlignment="1" applyBorder="1" applyFont="1">
      <alignment vertical="bottom"/>
    </xf>
    <xf borderId="6" fillId="0" fontId="20" numFmtId="0" xfId="0" applyAlignment="1" applyBorder="1" applyFont="1">
      <alignment vertical="bottom"/>
    </xf>
    <xf borderId="6" fillId="0" fontId="20" numFmtId="0" xfId="0" applyAlignment="1" applyBorder="1" applyFont="1">
      <alignment vertical="bottom"/>
    </xf>
    <xf borderId="6" fillId="0" fontId="27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6" fillId="20" fontId="30" numFmtId="0" xfId="0" applyAlignment="1" applyBorder="1" applyFont="1">
      <alignment vertical="bottom"/>
    </xf>
    <xf borderId="6" fillId="21" fontId="30" numFmtId="0" xfId="0" applyAlignment="1" applyBorder="1" applyFill="1" applyFont="1">
      <alignment vertical="bottom"/>
    </xf>
    <xf borderId="6" fillId="21" fontId="30" numFmtId="0" xfId="0" applyAlignment="1" applyBorder="1" applyFont="1">
      <alignment vertical="bottom"/>
    </xf>
    <xf borderId="6" fillId="22" fontId="30" numFmtId="0" xfId="0" applyAlignment="1" applyBorder="1" applyFill="1" applyFont="1">
      <alignment vertical="bottom"/>
    </xf>
    <xf borderId="6" fillId="0" fontId="30" numFmtId="0" xfId="0" applyAlignment="1" applyBorder="1" applyFont="1">
      <alignment vertical="bottom"/>
    </xf>
    <xf borderId="6" fillId="0" fontId="20" numFmtId="0" xfId="0" applyAlignment="1" applyBorder="1" applyFont="1">
      <alignment shrinkToFit="0" vertical="bottom" wrapText="1"/>
    </xf>
    <xf borderId="8" fillId="0" fontId="20" numFmtId="0" xfId="0" applyAlignment="1" applyBorder="1" applyFont="1">
      <alignment vertical="bottom"/>
    </xf>
    <xf borderId="9" fillId="0" fontId="31" numFmtId="0" xfId="0" applyBorder="1" applyFont="1"/>
    <xf borderId="10" fillId="0" fontId="31" numFmtId="0" xfId="0" applyBorder="1" applyFont="1"/>
    <xf borderId="6" fillId="23" fontId="30" numFmtId="0" xfId="0" applyAlignment="1" applyBorder="1" applyFill="1" applyFont="1">
      <alignment vertical="bottom"/>
    </xf>
    <xf borderId="7" fillId="0" fontId="20" numFmtId="0" xfId="0" applyAlignment="1" applyBorder="1" applyFont="1">
      <alignment vertical="bottom"/>
    </xf>
    <xf borderId="0" fillId="23" fontId="30" numFmtId="0" xfId="0" applyAlignment="1" applyFont="1">
      <alignment vertical="bottom"/>
    </xf>
    <xf borderId="9" fillId="0" fontId="20" numFmtId="0" xfId="0" applyAlignment="1" applyBorder="1" applyFont="1">
      <alignment vertical="bottom"/>
    </xf>
    <xf borderId="10" fillId="0" fontId="20" numFmtId="0" xfId="0" applyAlignment="1" applyBorder="1" applyFont="1">
      <alignment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24" fontId="33" numFmtId="0" xfId="0" applyAlignment="1" applyFill="1" applyFont="1">
      <alignment readingOrder="0"/>
    </xf>
    <xf borderId="10" fillId="24" fontId="10" numFmtId="0" xfId="0" applyAlignment="1" applyBorder="1" applyFont="1">
      <alignment horizontal="center"/>
    </xf>
    <xf borderId="11" fillId="24" fontId="10" numFmtId="0" xfId="0" applyAlignment="1" applyBorder="1" applyFont="1">
      <alignment horizontal="center"/>
    </xf>
    <xf borderId="10" fillId="2" fontId="10" numFmtId="0" xfId="0" applyAlignment="1" applyBorder="1" applyFont="1">
      <alignment horizontal="center"/>
    </xf>
    <xf borderId="11" fillId="2" fontId="10" numFmtId="0" xfId="0" applyAlignment="1" applyBorder="1" applyFont="1">
      <alignment horizontal="center"/>
    </xf>
    <xf borderId="10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/>
    </xf>
    <xf borderId="10" fillId="25" fontId="10" numFmtId="0" xfId="0" applyAlignment="1" applyBorder="1" applyFill="1" applyFont="1">
      <alignment horizontal="center"/>
    </xf>
    <xf borderId="11" fillId="25" fontId="10" numFmtId="0" xfId="0" applyAlignment="1" applyBorder="1" applyFont="1">
      <alignment horizontal="center"/>
    </xf>
    <xf borderId="12" fillId="24" fontId="4" numFmtId="164" xfId="0" applyAlignment="1" applyBorder="1" applyFont="1" applyNumberFormat="1">
      <alignment horizontal="center"/>
    </xf>
    <xf borderId="10" fillId="24" fontId="4" numFmtId="164" xfId="0" applyAlignment="1" applyBorder="1" applyFont="1" applyNumberFormat="1">
      <alignment horizontal="center" readingOrder="0"/>
    </xf>
    <xf borderId="10" fillId="0" fontId="4" numFmtId="164" xfId="0" applyAlignment="1" applyBorder="1" applyFont="1" applyNumberFormat="1">
      <alignment horizontal="center" readingOrder="0"/>
    </xf>
    <xf borderId="10" fillId="20" fontId="4" numFmtId="164" xfId="0" applyAlignment="1" applyBorder="1" applyFont="1" applyNumberFormat="1">
      <alignment horizontal="center" readingOrder="0"/>
    </xf>
    <xf borderId="10" fillId="0" fontId="4" numFmtId="165" xfId="0" applyAlignment="1" applyBorder="1" applyFont="1" applyNumberFormat="1">
      <alignment horizontal="center" readingOrder="0"/>
    </xf>
    <xf borderId="10" fillId="2" fontId="4" numFmtId="164" xfId="0" applyAlignment="1" applyBorder="1" applyFont="1" applyNumberFormat="1">
      <alignment horizontal="center" readingOrder="0"/>
    </xf>
    <xf borderId="10" fillId="26" fontId="4" numFmtId="164" xfId="0" applyAlignment="1" applyBorder="1" applyFill="1" applyFont="1" applyNumberFormat="1">
      <alignment horizontal="center" readingOrder="0"/>
    </xf>
    <xf borderId="12" fillId="24" fontId="4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vertical="bottom"/>
    </xf>
    <xf borderId="0" fillId="2" fontId="10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2" fillId="0" fontId="30" numFmtId="0" xfId="0" applyAlignment="1" applyBorder="1" applyFont="1">
      <alignment horizontal="center" vertical="bottom"/>
    </xf>
    <xf borderId="13" fillId="0" fontId="31" numFmtId="0" xfId="0" applyBorder="1" applyFont="1"/>
    <xf borderId="11" fillId="0" fontId="31" numFmtId="0" xfId="0" applyBorder="1" applyFont="1"/>
    <xf borderId="8" fillId="24" fontId="10" numFmtId="0" xfId="0" applyAlignment="1" applyBorder="1" applyFont="1">
      <alignment vertical="bottom"/>
    </xf>
    <xf borderId="8" fillId="9" fontId="10" numFmtId="0" xfId="0" applyAlignment="1" applyBorder="1" applyFont="1">
      <alignment vertical="bottom"/>
    </xf>
    <xf borderId="8" fillId="27" fontId="10" numFmtId="0" xfId="0" applyAlignment="1" applyBorder="1" applyFill="1" applyFont="1">
      <alignment vertical="bottom"/>
    </xf>
    <xf borderId="8" fillId="12" fontId="10" numFmtId="0" xfId="0" applyAlignment="1" applyBorder="1" applyFont="1">
      <alignment vertical="bottom"/>
    </xf>
    <xf borderId="8" fillId="28" fontId="10" numFmtId="0" xfId="0" applyAlignment="1" applyBorder="1" applyFill="1" applyFont="1">
      <alignment vertical="bottom"/>
    </xf>
    <xf borderId="8" fillId="29" fontId="10" numFmtId="0" xfId="0" applyAlignment="1" applyBorder="1" applyFill="1" applyFont="1">
      <alignment vertical="bottom"/>
    </xf>
    <xf borderId="8" fillId="30" fontId="10" numFmtId="0" xfId="0" applyAlignment="1" applyBorder="1" applyFill="1" applyFont="1">
      <alignment vertical="bottom"/>
    </xf>
    <xf borderId="8" fillId="31" fontId="7" numFmtId="0" xfId="0" applyAlignment="1" applyBorder="1" applyFill="1" applyFont="1">
      <alignment vertical="bottom"/>
    </xf>
    <xf borderId="8" fillId="32" fontId="10" numFmtId="0" xfId="0" applyAlignment="1" applyBorder="1" applyFill="1" applyFont="1">
      <alignment vertical="bottom"/>
    </xf>
    <xf borderId="8" fillId="33" fontId="34" numFmtId="0" xfId="0" applyAlignment="1" applyBorder="1" applyFill="1" applyFont="1">
      <alignment vertical="bottom"/>
    </xf>
    <xf borderId="8" fillId="34" fontId="10" numFmtId="1" xfId="0" applyAlignment="1" applyBorder="1" applyFill="1" applyFont="1" applyNumberFormat="1">
      <alignment vertical="bottom"/>
    </xf>
    <xf borderId="8" fillId="35" fontId="10" numFmtId="0" xfId="0" applyAlignment="1" applyBorder="1" applyFill="1" applyFont="1">
      <alignment vertical="bottom"/>
    </xf>
    <xf borderId="8" fillId="36" fontId="34" numFmtId="1" xfId="0" applyAlignment="1" applyBorder="1" applyFill="1" applyFont="1" applyNumberFormat="1">
      <alignment vertical="bottom"/>
    </xf>
    <xf borderId="8" fillId="37" fontId="10" numFmtId="1" xfId="0" applyAlignment="1" applyBorder="1" applyFill="1" applyFont="1" applyNumberFormat="1">
      <alignment vertical="bottom"/>
    </xf>
    <xf borderId="8" fillId="38" fontId="34" numFmtId="1" xfId="0" applyAlignment="1" applyBorder="1" applyFill="1" applyFont="1" applyNumberFormat="1">
      <alignment vertical="bottom"/>
    </xf>
    <xf borderId="0" fillId="24" fontId="35" numFmtId="0" xfId="0" applyFont="1"/>
    <xf borderId="10" fillId="24" fontId="7" numFmtId="0" xfId="0" applyAlignment="1" applyBorder="1" applyFont="1">
      <alignment horizontal="center"/>
    </xf>
    <xf borderId="11" fillId="24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/>
    </xf>
    <xf borderId="11" fillId="2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10" fillId="25" fontId="7" numFmtId="0" xfId="0" applyAlignment="1" applyBorder="1" applyFont="1">
      <alignment horizontal="center"/>
    </xf>
    <xf borderId="11" fillId="25" fontId="7" numFmtId="0" xfId="0" applyAlignment="1" applyBorder="1" applyFont="1">
      <alignment horizontal="center"/>
    </xf>
    <xf borderId="0" fillId="0" fontId="35" numFmtId="0" xfId="0" applyFont="1"/>
    <xf borderId="1" fillId="24" fontId="5" numFmtId="164" xfId="0" applyAlignment="1" applyBorder="1" applyFont="1" applyNumberFormat="1">
      <alignment horizontal="center"/>
    </xf>
    <xf borderId="1" fillId="24" fontId="5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20" fontId="5" numFmtId="16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2" fontId="5" numFmtId="164" xfId="0" applyAlignment="1" applyBorder="1" applyFont="1" applyNumberFormat="1">
      <alignment horizontal="center" readingOrder="0"/>
    </xf>
    <xf borderId="1" fillId="26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1" fillId="39" fontId="5" numFmtId="0" xfId="0" applyAlignment="1" applyBorder="1" applyFill="1" applyFont="1">
      <alignment horizontal="center" readingOrder="0" vertical="bottom"/>
    </xf>
    <xf borderId="1" fillId="40" fontId="5" numFmtId="0" xfId="0" applyAlignment="1" applyBorder="1" applyFill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41" fontId="5" numFmtId="0" xfId="0" applyAlignment="1" applyBorder="1" applyFill="1" applyFont="1">
      <alignment horizontal="center" readingOrder="0" vertical="bottom"/>
    </xf>
    <xf borderId="1" fillId="42" fontId="5" numFmtId="0" xfId="0" applyAlignment="1" applyBorder="1" applyFill="1" applyFont="1">
      <alignment horizontal="center" readingOrder="0" vertical="bottom"/>
    </xf>
    <xf borderId="1" fillId="43" fontId="5" numFmtId="0" xfId="0" applyAlignment="1" applyBorder="1" applyFill="1" applyFont="1">
      <alignment horizontal="center" readingOrder="0" vertical="bottom"/>
    </xf>
    <xf borderId="1" fillId="44" fontId="5" numFmtId="0" xfId="0" applyAlignment="1" applyBorder="1" applyFill="1" applyFont="1">
      <alignment horizontal="center" readingOrder="0" vertical="bottom"/>
    </xf>
    <xf borderId="1" fillId="45" fontId="5" numFmtId="0" xfId="0" applyAlignment="1" applyBorder="1" applyFill="1" applyFont="1">
      <alignment horizontal="center" readingOrder="0" vertical="bottom"/>
    </xf>
    <xf borderId="1" fillId="23" fontId="5" numFmtId="0" xfId="0" applyAlignment="1" applyBorder="1" applyFont="1">
      <alignment horizontal="center" readingOrder="0" vertical="bottom"/>
    </xf>
    <xf borderId="1" fillId="46" fontId="5" numFmtId="0" xfId="0" applyAlignment="1" applyBorder="1" applyFill="1" applyFont="1">
      <alignment horizontal="center" readingOrder="0" vertical="bottom"/>
    </xf>
    <xf borderId="1" fillId="31" fontId="5" numFmtId="0" xfId="0" applyAlignment="1" applyBorder="1" applyFont="1">
      <alignment horizontal="center" readingOrder="0" vertical="bottom"/>
    </xf>
    <xf borderId="1" fillId="18" fontId="5" numFmtId="0" xfId="0" applyAlignment="1" applyBorder="1" applyFont="1">
      <alignment horizontal="center" readingOrder="0" vertical="bottom"/>
    </xf>
    <xf borderId="1" fillId="39" fontId="5" numFmtId="0" xfId="0" applyAlignment="1" applyBorder="1" applyFont="1">
      <alignment horizontal="center" readingOrder="0" vertical="bottom"/>
    </xf>
    <xf borderId="1" fillId="31" fontId="5" numFmtId="0" xfId="0" applyAlignment="1" applyBorder="1" applyFont="1">
      <alignment horizontal="center" readingOrder="0" vertical="bottom"/>
    </xf>
    <xf borderId="1" fillId="46" fontId="5" numFmtId="0" xfId="0" applyAlignment="1" applyBorder="1" applyFont="1">
      <alignment horizontal="center" readingOrder="0" vertical="bottom"/>
    </xf>
    <xf borderId="1" fillId="43" fontId="5" numFmtId="0" xfId="0" applyAlignment="1" applyBorder="1" applyFont="1">
      <alignment horizontal="center" readingOrder="0" vertical="bottom"/>
    </xf>
    <xf borderId="1" fillId="40" fontId="5" numFmtId="0" xfId="0" applyAlignment="1" applyBorder="1" applyFont="1">
      <alignment horizontal="center" readingOrder="0" vertical="bottom"/>
    </xf>
    <xf borderId="1" fillId="42" fontId="5" numFmtId="0" xfId="0" applyAlignment="1" applyBorder="1" applyFont="1">
      <alignment horizontal="center" readingOrder="0" vertical="bottom"/>
    </xf>
    <xf borderId="1" fillId="23" fontId="5" numFmtId="0" xfId="0" applyAlignment="1" applyBorder="1" applyFont="1">
      <alignment horizontal="center" readingOrder="0" vertical="bottom"/>
    </xf>
    <xf borderId="1" fillId="41" fontId="5" numFmtId="0" xfId="0" applyAlignment="1" applyBorder="1" applyFont="1">
      <alignment horizontal="center" readingOrder="0" vertical="bottom"/>
    </xf>
    <xf borderId="1" fillId="42" fontId="15" numFmtId="0" xfId="0" applyAlignment="1" applyBorder="1" applyFont="1">
      <alignment readingOrder="0"/>
    </xf>
    <xf borderId="1" fillId="18" fontId="5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readingOrder="0"/>
    </xf>
    <xf borderId="1" fillId="45" fontId="5" numFmtId="0" xfId="0" applyAlignment="1" applyBorder="1" applyFont="1">
      <alignment horizontal="center" readingOrder="0" vertical="bottom"/>
    </xf>
    <xf borderId="1" fillId="44" fontId="5" numFmtId="0" xfId="0" applyAlignment="1" applyBorder="1" applyFont="1">
      <alignment horizontal="center" readingOrder="0" vertical="bottom"/>
    </xf>
    <xf borderId="0" fillId="2" fontId="7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0" fillId="2" fontId="29" numFmtId="0" xfId="0" applyAlignment="1" applyFont="1">
      <alignment vertical="bottom"/>
    </xf>
    <xf borderId="0" fillId="2" fontId="29" numFmtId="0" xfId="0" applyAlignment="1" applyFont="1">
      <alignment horizontal="center" vertical="bottom"/>
    </xf>
    <xf borderId="8" fillId="0" fontId="10" numFmtId="0" xfId="0" applyAlignment="1" applyBorder="1" applyFont="1">
      <alignment vertical="bottom"/>
    </xf>
    <xf borderId="8" fillId="39" fontId="10" numFmtId="0" xfId="0" applyAlignment="1" applyBorder="1" applyFont="1">
      <alignment vertical="bottom"/>
    </xf>
    <xf borderId="0" fillId="0" fontId="5" numFmtId="0" xfId="0" applyAlignment="1" applyFont="1">
      <alignment horizontal="center" readingOrder="0" vertical="bottom"/>
    </xf>
    <xf borderId="8" fillId="42" fontId="10" numFmtId="0" xfId="0" applyAlignment="1" applyBorder="1" applyFont="1">
      <alignment vertical="bottom"/>
    </xf>
    <xf borderId="8" fillId="23" fontId="10" numFmtId="0" xfId="0" applyAlignment="1" applyBorder="1" applyFont="1">
      <alignment vertical="bottom"/>
    </xf>
    <xf borderId="8" fillId="31" fontId="10" numFmtId="0" xfId="0" applyAlignment="1" applyBorder="1" applyFont="1">
      <alignment vertical="bottom"/>
    </xf>
    <xf borderId="8" fillId="44" fontId="10" numFmtId="0" xfId="0" applyAlignment="1" applyBorder="1" applyFont="1">
      <alignment vertical="bottom"/>
    </xf>
    <xf borderId="8" fillId="45" fontId="10" numFmtId="0" xfId="0" applyAlignment="1" applyBorder="1" applyFont="1">
      <alignment vertical="bottom"/>
    </xf>
    <xf borderId="8" fillId="40" fontId="10" numFmtId="0" xfId="0" applyAlignment="1" applyBorder="1" applyFont="1">
      <alignment vertical="bottom"/>
    </xf>
    <xf borderId="8" fillId="18" fontId="10" numFmtId="0" xfId="0" applyAlignment="1" applyBorder="1" applyFont="1">
      <alignment vertical="bottom"/>
    </xf>
    <xf borderId="8" fillId="43" fontId="10" numFmtId="0" xfId="0" applyAlignment="1" applyBorder="1" applyFont="1">
      <alignment vertical="bottom"/>
    </xf>
    <xf borderId="8" fillId="41" fontId="7" numFmtId="0" xfId="0" applyAlignment="1" applyBorder="1" applyFont="1">
      <alignment vertical="bottom"/>
    </xf>
    <xf borderId="0" fillId="24" fontId="15" numFmtId="0" xfId="0" applyFont="1"/>
    <xf borderId="1" fillId="24" fontId="4" numFmtId="164" xfId="0" applyAlignment="1" applyBorder="1" applyFont="1" applyNumberFormat="1">
      <alignment horizontal="center"/>
    </xf>
    <xf borderId="1" fillId="24" fontId="4" numFmtId="164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20" fontId="4" numFmtId="164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2" fontId="4" numFmtId="164" xfId="0" applyAlignment="1" applyBorder="1" applyFont="1" applyNumberFormat="1">
      <alignment horizontal="center" readingOrder="0"/>
    </xf>
    <xf borderId="1" fillId="26" fontId="4" numFmtId="164" xfId="0" applyAlignment="1" applyBorder="1" applyFont="1" applyNumberFormat="1">
      <alignment horizontal="center" readingOrder="0"/>
    </xf>
    <xf borderId="1" fillId="47" fontId="4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48" fontId="4" numFmtId="0" xfId="0" applyAlignment="1" applyBorder="1" applyFill="1" applyFont="1">
      <alignment horizontal="center" vertical="bottom"/>
    </xf>
    <xf borderId="1" fillId="49" fontId="4" numFmtId="0" xfId="0" applyAlignment="1" applyBorder="1" applyFill="1" applyFont="1">
      <alignment horizontal="center" vertical="bottom"/>
    </xf>
    <xf borderId="1" fillId="50" fontId="4" numFmtId="0" xfId="0" applyAlignment="1" applyBorder="1" applyFill="1" applyFont="1">
      <alignment horizontal="center" vertical="bottom"/>
    </xf>
    <xf borderId="1" fillId="51" fontId="4" numFmtId="0" xfId="0" applyAlignment="1" applyBorder="1" applyFill="1" applyFont="1">
      <alignment horizontal="center" vertical="bottom"/>
    </xf>
    <xf borderId="1" fillId="31" fontId="4" numFmtId="0" xfId="0" applyAlignment="1" applyBorder="1" applyFont="1">
      <alignment horizontal="center" vertical="bottom"/>
    </xf>
    <xf borderId="1" fillId="40" fontId="4" numFmtId="0" xfId="0" applyAlignment="1" applyBorder="1" applyFont="1">
      <alignment horizontal="center" readingOrder="0" vertical="bottom"/>
    </xf>
    <xf borderId="1" fillId="52" fontId="4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53" fontId="4" numFmtId="0" xfId="0" applyAlignment="1" applyBorder="1" applyFill="1" applyFont="1">
      <alignment horizontal="center" vertical="bottom"/>
    </xf>
    <xf borderId="0" fillId="31" fontId="4" numFmtId="0" xfId="0" applyAlignment="1" applyFont="1">
      <alignment horizontal="center" vertical="bottom"/>
    </xf>
    <xf borderId="1" fillId="47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49" fontId="4" numFmtId="0" xfId="0" applyAlignment="1" applyFont="1">
      <alignment horizontal="center" vertical="bottom"/>
    </xf>
    <xf borderId="0" fillId="53" fontId="4" numFmtId="0" xfId="0" applyAlignment="1" applyFont="1">
      <alignment horizontal="center" vertical="bottom"/>
    </xf>
    <xf borderId="0" fillId="31" fontId="10" numFmtId="0" xfId="0" applyAlignment="1" applyFont="1">
      <alignment horizontal="center" vertical="bottom"/>
    </xf>
    <xf borderId="1" fillId="4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50" fontId="4" numFmtId="0" xfId="0" applyAlignment="1" applyFont="1">
      <alignment horizontal="center" vertical="bottom"/>
    </xf>
    <xf borderId="0" fillId="51" fontId="4" numFmtId="0" xfId="0" applyAlignment="1" applyFont="1">
      <alignment horizontal="center" vertical="bottom"/>
    </xf>
    <xf borderId="0" fillId="52" fontId="4" numFmtId="0" xfId="0" applyAlignment="1" applyFont="1">
      <alignment horizontal="center" vertical="bottom"/>
    </xf>
    <xf borderId="1" fillId="50" fontId="4" numFmtId="0" xfId="0" applyAlignment="1" applyBorder="1" applyFont="1">
      <alignment vertical="bottom"/>
    </xf>
    <xf borderId="1" fillId="51" fontId="4" numFmtId="0" xfId="0" applyAlignment="1" applyBorder="1" applyFont="1">
      <alignment vertical="bottom"/>
    </xf>
    <xf borderId="0" fillId="31" fontId="4" numFmtId="0" xfId="0" applyAlignment="1" applyFont="1">
      <alignment horizontal="center" vertical="bottom"/>
    </xf>
    <xf borderId="1" fillId="18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51" fontId="4" numFmtId="0" xfId="0" applyAlignment="1" applyFont="1">
      <alignment horizontal="center" vertical="bottom"/>
    </xf>
    <xf borderId="0" fillId="50" fontId="4" numFmtId="0" xfId="0" applyAlignment="1" applyFont="1">
      <alignment horizontal="center" vertical="bottom"/>
    </xf>
    <xf borderId="0" fillId="26" fontId="4" numFmtId="0" xfId="0" applyAlignment="1" applyFont="1">
      <alignment vertical="bottom"/>
    </xf>
    <xf borderId="1" fillId="53" fontId="4" numFmtId="0" xfId="0" applyAlignment="1" applyBorder="1" applyFont="1">
      <alignment vertical="bottom"/>
    </xf>
    <xf borderId="1" fillId="52" fontId="4" numFmtId="0" xfId="0" applyAlignment="1" applyBorder="1" applyFont="1">
      <alignment vertical="bottom"/>
    </xf>
    <xf borderId="1" fillId="31" fontId="4" numFmtId="0" xfId="0" applyAlignment="1" applyBorder="1" applyFont="1">
      <alignment horizontal="center" vertical="bottom"/>
    </xf>
    <xf borderId="1" fillId="49" fontId="4" numFmtId="0" xfId="0" applyAlignment="1" applyBorder="1" applyFont="1">
      <alignment vertical="bottom"/>
    </xf>
    <xf borderId="2" fillId="47" fontId="4" numFmtId="0" xfId="0" applyAlignment="1" applyBorder="1" applyFont="1">
      <alignment horizontal="center" vertical="bottom"/>
    </xf>
    <xf borderId="2" fillId="53" fontId="4" numFmtId="0" xfId="0" applyAlignment="1" applyBorder="1" applyFont="1">
      <alignment horizontal="center" vertical="bottom"/>
    </xf>
    <xf borderId="2" fillId="48" fontId="4" numFmtId="0" xfId="0" applyAlignment="1" applyBorder="1" applyFont="1">
      <alignment horizontal="center" vertical="bottom"/>
    </xf>
    <xf borderId="2" fillId="49" fontId="4" numFmtId="0" xfId="0" applyAlignment="1" applyBorder="1" applyFont="1">
      <alignment horizontal="center" vertical="bottom"/>
    </xf>
    <xf borderId="2" fillId="52" fontId="4" numFmtId="0" xfId="0" applyAlignment="1" applyBorder="1" applyFont="1">
      <alignment horizontal="center" vertical="bottom"/>
    </xf>
    <xf borderId="2" fillId="50" fontId="4" numFmtId="0" xfId="0" applyAlignment="1" applyBorder="1" applyFont="1">
      <alignment horizontal="center" vertical="bottom"/>
    </xf>
    <xf borderId="2" fillId="51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31" fontId="4" numFmtId="0" xfId="0" applyAlignment="1" applyBorder="1" applyFont="1">
      <alignment horizontal="center" vertical="bottom"/>
    </xf>
    <xf borderId="2" fillId="40" fontId="4" numFmtId="0" xfId="0" applyAlignment="1" applyBorder="1" applyFont="1">
      <alignment horizontal="center" vertical="bottom"/>
    </xf>
    <xf borderId="10" fillId="9" fontId="10" numFmtId="0" xfId="0" applyAlignment="1" applyBorder="1" applyFont="1">
      <alignment horizontal="center"/>
    </xf>
    <xf borderId="11" fillId="9" fontId="10" numFmtId="0" xfId="0" applyAlignment="1" applyBorder="1" applyFont="1">
      <alignment horizontal="center"/>
    </xf>
    <xf borderId="11" fillId="2" fontId="10" numFmtId="0" xfId="0" applyAlignment="1" applyBorder="1" applyFont="1">
      <alignment horizontal="center" readingOrder="0"/>
    </xf>
    <xf borderId="0" fillId="20" fontId="4" numFmtId="0" xfId="0" applyAlignment="1" applyFont="1">
      <alignment horizontal="center" readingOrder="0"/>
    </xf>
    <xf borderId="1" fillId="12" fontId="4" numFmtId="0" xfId="0" applyAlignment="1" applyBorder="1" applyFont="1">
      <alignment horizontal="center" readingOrder="0" vertical="bottom"/>
    </xf>
    <xf borderId="1" fillId="48" fontId="4" numFmtId="0" xfId="0" applyAlignment="1" applyBorder="1" applyFont="1">
      <alignment horizontal="center" readingOrder="0" vertical="bottom"/>
    </xf>
    <xf borderId="1" fillId="54" fontId="4" numFmtId="0" xfId="0" applyAlignment="1" applyBorder="1" applyFill="1" applyFont="1">
      <alignment horizontal="center" readingOrder="0" vertical="bottom"/>
    </xf>
    <xf borderId="0" fillId="53" fontId="4" numFmtId="0" xfId="0" applyAlignment="1" applyFont="1">
      <alignment vertical="bottom"/>
    </xf>
    <xf borderId="0" fillId="52" fontId="4" numFmtId="0" xfId="0" applyAlignment="1" applyFont="1">
      <alignment vertical="bottom"/>
    </xf>
    <xf borderId="0" fillId="49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1" fillId="12" fontId="4" numFmtId="0" xfId="0" applyAlignment="1" applyBorder="1" applyFont="1">
      <alignment horizontal="center" vertical="bottom"/>
    </xf>
    <xf borderId="1" fillId="48" fontId="4" numFmtId="0" xfId="0" applyAlignment="1" applyBorder="1" applyFont="1">
      <alignment horizontal="center" vertical="bottom"/>
    </xf>
    <xf borderId="1" fillId="40" fontId="4" numFmtId="0" xfId="0" applyAlignment="1" applyBorder="1" applyFont="1">
      <alignment horizontal="center" vertical="bottom"/>
    </xf>
    <xf borderId="1" fillId="47" fontId="4" numFmtId="0" xfId="0" applyAlignment="1" applyBorder="1" applyFont="1">
      <alignment horizontal="center" vertical="bottom"/>
    </xf>
    <xf borderId="2" fillId="12" fontId="4" numFmtId="0" xfId="0" applyAlignment="1" applyBorder="1" applyFont="1">
      <alignment horizontal="center" vertical="bottom"/>
    </xf>
    <xf borderId="0" fillId="0" fontId="33" numFmtId="0" xfId="0" applyAlignment="1" applyFont="1">
      <alignment readingOrder="0"/>
    </xf>
  </cellXfs>
  <cellStyles count="1">
    <cellStyle xfId="0" name="Normal" builtinId="0"/>
  </cellStyles>
  <dxfs count="29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color rgb="FF0000FF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83DCE3"/>
          <bgColor rgb="FF83DCE3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>
        <color rgb="FF000000"/>
      </font>
      <fill>
        <patternFill patternType="solid">
          <fgColor rgb="FF46BDC6"/>
          <bgColor rgb="FF46BDC6"/>
        </patternFill>
      </fill>
      <border/>
    </dxf>
    <dxf>
      <font>
        <color rgb="FF000000"/>
      </font>
      <fill>
        <patternFill patternType="solid">
          <fgColor theme="8"/>
          <bgColor theme="8"/>
        </patternFill>
      </fill>
      <border/>
    </dxf>
    <dxf>
      <font>
        <color rgb="FF000000"/>
      </font>
      <fill>
        <patternFill patternType="solid">
          <fgColor rgb="FFD5A6BD"/>
          <bgColor rgb="FFD5A6BD"/>
        </patternFill>
      </fill>
      <border/>
    </dxf>
    <dxf>
      <font>
        <color rgb="FFFFFFFF"/>
      </font>
      <fill>
        <patternFill patternType="solid">
          <fgColor rgb="FF212121"/>
          <bgColor rgb="FF212121"/>
        </patternFill>
      </fill>
      <border/>
    </dxf>
    <dxf>
      <font>
        <color rgb="FFFFFFFF"/>
      </font>
      <fill>
        <patternFill patternType="solid">
          <fgColor rgb="FF0C7F43"/>
          <bgColor rgb="FF0C7F43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000000"/>
      </font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nfoinspired.com/google-docs/spreadsheet/learn-query-function-with-examples-in-google-sheets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75"/>
  <cols>
    <col customWidth="1" min="1" max="1" width="29.57"/>
    <col customWidth="1" min="2" max="2" width="12.29"/>
    <col customWidth="1" min="3" max="3" width="13.14"/>
    <col customWidth="1" min="5" max="5" width="12.0"/>
    <col customWidth="1" min="6" max="33" width="4.43"/>
  </cols>
  <sheetData>
    <row r="1" hidden="1">
      <c r="A1" s="1" t="s">
        <v>0</v>
      </c>
      <c r="B1" s="2"/>
      <c r="C1" s="3"/>
      <c r="D1" s="3"/>
      <c r="E1" s="2"/>
      <c r="F1" s="4"/>
      <c r="G1" s="4"/>
      <c r="H1" s="4"/>
      <c r="I1" s="4"/>
      <c r="J1" s="5"/>
      <c r="K1" s="6"/>
      <c r="L1" s="6"/>
      <c r="M1" s="5"/>
      <c r="N1" s="6"/>
      <c r="O1" s="6"/>
      <c r="P1" s="5"/>
      <c r="Q1" s="4"/>
      <c r="R1" s="6"/>
      <c r="S1" s="6"/>
      <c r="T1" s="5"/>
      <c r="U1" s="6"/>
      <c r="V1" s="6"/>
      <c r="W1" s="5"/>
      <c r="X1" s="5"/>
      <c r="Y1" s="6"/>
      <c r="Z1" s="6"/>
      <c r="AA1" s="5"/>
      <c r="AB1" s="6"/>
      <c r="AC1" s="6"/>
      <c r="AD1" s="4"/>
      <c r="AE1" s="5"/>
      <c r="AF1" s="6"/>
      <c r="AG1" s="7"/>
    </row>
    <row r="2">
      <c r="A2" s="8" t="s">
        <v>1</v>
      </c>
      <c r="B2" s="9"/>
      <c r="C2" s="10"/>
      <c r="D2" s="10"/>
      <c r="E2" s="11"/>
      <c r="F2" s="12" t="s">
        <v>2</v>
      </c>
      <c r="G2" s="12" t="s">
        <v>3</v>
      </c>
      <c r="H2" s="13" t="s">
        <v>4</v>
      </c>
      <c r="I2" s="12" t="s">
        <v>5</v>
      </c>
      <c r="J2" s="12" t="s">
        <v>6</v>
      </c>
      <c r="K2" s="14" t="s">
        <v>7</v>
      </c>
      <c r="L2" s="14" t="s">
        <v>8</v>
      </c>
      <c r="M2" s="12" t="s">
        <v>2</v>
      </c>
      <c r="N2" s="12" t="s">
        <v>3</v>
      </c>
      <c r="O2" s="13" t="s">
        <v>4</v>
      </c>
      <c r="P2" s="15" t="s">
        <v>5</v>
      </c>
      <c r="Q2" s="12" t="s">
        <v>6</v>
      </c>
      <c r="R2" s="14" t="s">
        <v>7</v>
      </c>
      <c r="S2" s="14" t="s">
        <v>8</v>
      </c>
      <c r="T2" s="12" t="s">
        <v>2</v>
      </c>
      <c r="U2" s="12" t="s">
        <v>3</v>
      </c>
      <c r="V2" s="16" t="s">
        <v>4</v>
      </c>
      <c r="W2" s="17" t="s">
        <v>5</v>
      </c>
      <c r="X2" s="17" t="s">
        <v>6</v>
      </c>
      <c r="Y2" s="14" t="s">
        <v>7</v>
      </c>
      <c r="Z2" s="14" t="s">
        <v>8</v>
      </c>
      <c r="AA2" s="17" t="s">
        <v>2</v>
      </c>
      <c r="AB2" s="17" t="s">
        <v>3</v>
      </c>
      <c r="AC2" s="18" t="s">
        <v>4</v>
      </c>
      <c r="AD2" s="17" t="s">
        <v>5</v>
      </c>
      <c r="AE2" s="17" t="s">
        <v>6</v>
      </c>
      <c r="AF2" s="14" t="s">
        <v>7</v>
      </c>
      <c r="AG2" s="14" t="s">
        <v>8</v>
      </c>
    </row>
    <row r="3">
      <c r="A3" s="19" t="s">
        <v>9</v>
      </c>
      <c r="B3" s="11"/>
      <c r="C3" s="10"/>
      <c r="D3" s="10"/>
      <c r="E3" s="11"/>
      <c r="F3" s="20">
        <v>9.0</v>
      </c>
      <c r="G3" s="20">
        <v>10.0</v>
      </c>
      <c r="H3" s="21">
        <v>11.0</v>
      </c>
      <c r="I3" s="20">
        <v>12.0</v>
      </c>
      <c r="J3" s="20">
        <v>13.0</v>
      </c>
      <c r="K3" s="22">
        <v>14.0</v>
      </c>
      <c r="L3" s="22">
        <v>15.0</v>
      </c>
      <c r="M3" s="20">
        <v>16.0</v>
      </c>
      <c r="N3" s="20">
        <v>17.0</v>
      </c>
      <c r="O3" s="21">
        <v>18.0</v>
      </c>
      <c r="P3" s="20">
        <v>19.0</v>
      </c>
      <c r="Q3" s="20">
        <v>20.0</v>
      </c>
      <c r="R3" s="22">
        <v>21.0</v>
      </c>
      <c r="S3" s="22">
        <v>22.0</v>
      </c>
      <c r="T3" s="20">
        <v>23.0</v>
      </c>
      <c r="U3" s="20">
        <v>24.0</v>
      </c>
      <c r="V3" s="21">
        <v>25.0</v>
      </c>
      <c r="W3" s="20">
        <v>26.0</v>
      </c>
      <c r="X3" s="20">
        <v>27.0</v>
      </c>
      <c r="Y3" s="22">
        <v>28.0</v>
      </c>
      <c r="Z3" s="22">
        <v>1.0</v>
      </c>
      <c r="AA3" s="20">
        <v>2.0</v>
      </c>
      <c r="AB3" s="20">
        <v>3.0</v>
      </c>
      <c r="AC3" s="21">
        <v>4.0</v>
      </c>
      <c r="AD3" s="20">
        <v>5.0</v>
      </c>
      <c r="AE3" s="20">
        <v>6.0</v>
      </c>
      <c r="AF3" s="22">
        <v>7.0</v>
      </c>
      <c r="AG3" s="22">
        <v>8.0</v>
      </c>
    </row>
    <row r="4">
      <c r="A4" s="23" t="s">
        <v>10</v>
      </c>
      <c r="B4" s="24" t="s">
        <v>11</v>
      </c>
      <c r="C4" s="24" t="s">
        <v>12</v>
      </c>
      <c r="D4" s="25" t="s">
        <v>13</v>
      </c>
      <c r="E4" s="26" t="s">
        <v>14</v>
      </c>
      <c r="F4" s="27">
        <f t="shared" ref="F4:AA4" si="1">countif(F52:F68, "X")</f>
        <v>0</v>
      </c>
      <c r="G4" s="27">
        <f t="shared" si="1"/>
        <v>0</v>
      </c>
      <c r="H4" s="27">
        <f t="shared" si="1"/>
        <v>0</v>
      </c>
      <c r="I4" s="27">
        <f t="shared" si="1"/>
        <v>0</v>
      </c>
      <c r="J4" s="27">
        <f t="shared" si="1"/>
        <v>0</v>
      </c>
      <c r="K4" s="27">
        <f t="shared" si="1"/>
        <v>0</v>
      </c>
      <c r="L4" s="27">
        <f t="shared" si="1"/>
        <v>0</v>
      </c>
      <c r="M4" s="27">
        <f t="shared" si="1"/>
        <v>0</v>
      </c>
      <c r="N4" s="27">
        <f t="shared" si="1"/>
        <v>0</v>
      </c>
      <c r="O4" s="27">
        <f t="shared" si="1"/>
        <v>0</v>
      </c>
      <c r="P4" s="27">
        <f t="shared" si="1"/>
        <v>0</v>
      </c>
      <c r="Q4" s="27">
        <f t="shared" si="1"/>
        <v>0</v>
      </c>
      <c r="R4" s="27">
        <f t="shared" si="1"/>
        <v>0</v>
      </c>
      <c r="S4" s="27">
        <f t="shared" si="1"/>
        <v>0</v>
      </c>
      <c r="T4" s="27">
        <f t="shared" si="1"/>
        <v>0</v>
      </c>
      <c r="U4" s="27">
        <f t="shared" si="1"/>
        <v>0</v>
      </c>
      <c r="V4" s="27">
        <f t="shared" si="1"/>
        <v>0</v>
      </c>
      <c r="W4" s="27">
        <f t="shared" si="1"/>
        <v>0</v>
      </c>
      <c r="X4" s="27">
        <f t="shared" si="1"/>
        <v>0</v>
      </c>
      <c r="Y4" s="27">
        <f t="shared" si="1"/>
        <v>0</v>
      </c>
      <c r="Z4" s="27">
        <f t="shared" si="1"/>
        <v>0</v>
      </c>
      <c r="AA4" s="27">
        <f t="shared" si="1"/>
        <v>0</v>
      </c>
      <c r="AB4" s="27">
        <f>countif(AB52:AB67, "X")</f>
        <v>0</v>
      </c>
      <c r="AC4" s="27">
        <f t="shared" ref="AC4:AG4" si="2">countif(AC52:AC68, "X")</f>
        <v>0</v>
      </c>
      <c r="AD4" s="27">
        <f t="shared" si="2"/>
        <v>0</v>
      </c>
      <c r="AE4" s="27">
        <f t="shared" si="2"/>
        <v>0</v>
      </c>
      <c r="AF4" s="27">
        <f t="shared" si="2"/>
        <v>0</v>
      </c>
      <c r="AG4" s="27">
        <f t="shared" si="2"/>
        <v>0</v>
      </c>
    </row>
    <row r="5">
      <c r="A5" s="28" t="s">
        <v>15</v>
      </c>
      <c r="B5" s="29" t="s">
        <v>16</v>
      </c>
      <c r="C5" s="30"/>
      <c r="D5" s="31"/>
      <c r="E5" s="30"/>
      <c r="F5" s="32" t="s">
        <v>17</v>
      </c>
      <c r="G5" s="32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>
      <c r="A6" s="28" t="s">
        <v>18</v>
      </c>
      <c r="B6" s="29" t="s">
        <v>19</v>
      </c>
      <c r="C6" s="30"/>
      <c r="D6" s="31"/>
      <c r="E6" s="30"/>
      <c r="F6" s="32"/>
      <c r="G6" s="32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>
      <c r="A7" s="34" t="s">
        <v>21</v>
      </c>
      <c r="B7" s="29" t="s">
        <v>22</v>
      </c>
      <c r="C7" s="30"/>
      <c r="D7" s="31"/>
      <c r="E7" s="30"/>
      <c r="F7" s="32" t="s">
        <v>20</v>
      </c>
      <c r="G7" s="32" t="s">
        <v>23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>
      <c r="A8" s="34" t="s">
        <v>24</v>
      </c>
      <c r="B8" s="29"/>
      <c r="C8" s="35"/>
      <c r="D8" s="31"/>
      <c r="E8" s="30"/>
      <c r="F8" s="32" t="s">
        <v>25</v>
      </c>
      <c r="G8" s="32" t="s">
        <v>25</v>
      </c>
      <c r="H8" s="36"/>
      <c r="I8" s="32"/>
      <c r="J8" s="32" t="s">
        <v>26</v>
      </c>
      <c r="K8" s="37" t="s">
        <v>27</v>
      </c>
      <c r="L8" s="37" t="s">
        <v>27</v>
      </c>
      <c r="M8" s="32" t="s">
        <v>26</v>
      </c>
      <c r="N8" s="32" t="s">
        <v>28</v>
      </c>
      <c r="O8" s="36" t="s">
        <v>23</v>
      </c>
      <c r="P8" s="32"/>
      <c r="Q8" s="32" t="s">
        <v>29</v>
      </c>
      <c r="R8" s="37" t="s">
        <v>30</v>
      </c>
      <c r="S8" s="37" t="s">
        <v>30</v>
      </c>
      <c r="T8" s="32" t="s">
        <v>17</v>
      </c>
      <c r="U8" s="32" t="s">
        <v>25</v>
      </c>
      <c r="V8" s="36" t="s">
        <v>25</v>
      </c>
      <c r="W8" s="32" t="s">
        <v>25</v>
      </c>
      <c r="X8" s="32"/>
      <c r="Y8" s="37"/>
      <c r="Z8" s="37" t="s">
        <v>28</v>
      </c>
      <c r="AA8" s="32" t="s">
        <v>28</v>
      </c>
      <c r="AB8" s="32" t="s">
        <v>20</v>
      </c>
      <c r="AC8" s="36"/>
      <c r="AD8" s="32"/>
      <c r="AE8" s="32"/>
      <c r="AF8" s="37"/>
      <c r="AG8" s="37"/>
    </row>
    <row r="9">
      <c r="A9" s="34" t="s">
        <v>31</v>
      </c>
      <c r="B9" s="29" t="s">
        <v>32</v>
      </c>
      <c r="C9" s="35"/>
      <c r="D9" s="31"/>
      <c r="E9" s="30"/>
      <c r="F9" s="33"/>
      <c r="G9" s="33"/>
      <c r="H9" s="36" t="s">
        <v>25</v>
      </c>
      <c r="I9" s="32" t="s">
        <v>25</v>
      </c>
      <c r="J9" s="32" t="s">
        <v>25</v>
      </c>
      <c r="K9" s="37" t="s">
        <v>30</v>
      </c>
      <c r="L9" s="37" t="s">
        <v>30</v>
      </c>
      <c r="M9" s="32"/>
      <c r="N9" s="32"/>
      <c r="O9" s="36"/>
      <c r="P9" s="32" t="s">
        <v>20</v>
      </c>
      <c r="Q9" s="32" t="s">
        <v>20</v>
      </c>
      <c r="R9" s="37" t="s">
        <v>27</v>
      </c>
      <c r="S9" s="37" t="s">
        <v>26</v>
      </c>
      <c r="T9" s="32"/>
      <c r="U9" s="32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>
      <c r="A10" s="34" t="s">
        <v>33</v>
      </c>
      <c r="B10" s="29" t="s">
        <v>34</v>
      </c>
      <c r="C10" s="38"/>
      <c r="D10" s="31"/>
      <c r="E10" s="30"/>
      <c r="F10" s="33"/>
      <c r="G10" s="33"/>
      <c r="H10" s="36"/>
      <c r="I10" s="32" t="s">
        <v>29</v>
      </c>
      <c r="J10" s="32" t="s">
        <v>17</v>
      </c>
      <c r="K10" s="37" t="s">
        <v>30</v>
      </c>
      <c r="L10" s="37" t="s">
        <v>30</v>
      </c>
      <c r="M10" s="32" t="s">
        <v>17</v>
      </c>
      <c r="N10" s="32" t="s">
        <v>17</v>
      </c>
      <c r="O10" s="36"/>
      <c r="P10" s="32" t="s">
        <v>23</v>
      </c>
      <c r="Q10" s="32"/>
      <c r="R10" s="37"/>
      <c r="S10" s="37" t="s">
        <v>27</v>
      </c>
      <c r="T10" s="32" t="s">
        <v>29</v>
      </c>
      <c r="U10" s="32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>
      <c r="A11" s="34" t="s">
        <v>35</v>
      </c>
      <c r="B11" s="29" t="s">
        <v>36</v>
      </c>
      <c r="C11" s="35"/>
      <c r="D11" s="31"/>
      <c r="E11" s="30"/>
      <c r="F11" s="33"/>
      <c r="G11" s="33"/>
      <c r="H11" s="36"/>
      <c r="I11" s="32" t="s">
        <v>20</v>
      </c>
      <c r="J11" s="32" t="s">
        <v>29</v>
      </c>
      <c r="K11" s="37" t="s">
        <v>26</v>
      </c>
      <c r="L11" s="37"/>
      <c r="M11" s="32" t="s">
        <v>25</v>
      </c>
      <c r="N11" s="32" t="s">
        <v>25</v>
      </c>
      <c r="O11" s="36" t="s">
        <v>25</v>
      </c>
      <c r="P11" s="32" t="s">
        <v>25</v>
      </c>
      <c r="Q11" s="32" t="s">
        <v>25</v>
      </c>
      <c r="R11" s="37"/>
      <c r="S11" s="37"/>
      <c r="T11" s="32" t="s">
        <v>37</v>
      </c>
      <c r="U11" s="32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>
      <c r="A12" s="34" t="s">
        <v>38</v>
      </c>
      <c r="B12" s="29" t="s">
        <v>39</v>
      </c>
      <c r="C12" s="35"/>
      <c r="D12" s="31"/>
      <c r="E12" s="30"/>
      <c r="F12" s="33"/>
      <c r="G12" s="33"/>
      <c r="H12" s="36" t="s">
        <v>29</v>
      </c>
      <c r="I12" s="32"/>
      <c r="J12" s="32" t="s">
        <v>20</v>
      </c>
      <c r="K12" s="37"/>
      <c r="L12" s="37"/>
      <c r="M12" s="32" t="s">
        <v>20</v>
      </c>
      <c r="N12" s="32" t="s">
        <v>20</v>
      </c>
      <c r="O12" s="36" t="s">
        <v>17</v>
      </c>
      <c r="P12" s="32" t="s">
        <v>17</v>
      </c>
      <c r="Q12" s="32" t="s">
        <v>17</v>
      </c>
      <c r="R12" s="37" t="s">
        <v>30</v>
      </c>
      <c r="S12" s="37" t="s">
        <v>30</v>
      </c>
      <c r="T12" s="32"/>
      <c r="U12" s="32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>
      <c r="A13" s="34" t="s">
        <v>40</v>
      </c>
      <c r="B13" s="29" t="s">
        <v>41</v>
      </c>
      <c r="C13" s="38"/>
      <c r="D13" s="31"/>
      <c r="E13" s="30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6" t="s">
        <v>23</v>
      </c>
      <c r="W13" s="32" t="s">
        <v>29</v>
      </c>
      <c r="X13" s="32" t="s">
        <v>26</v>
      </c>
      <c r="Y13" s="37" t="s">
        <v>27</v>
      </c>
      <c r="Z13" s="37"/>
      <c r="AA13" s="32" t="s">
        <v>25</v>
      </c>
      <c r="AB13" s="32" t="s">
        <v>25</v>
      </c>
      <c r="AC13" s="36" t="s">
        <v>17</v>
      </c>
      <c r="AD13" s="32" t="s">
        <v>17</v>
      </c>
      <c r="AE13" s="32"/>
      <c r="AF13" s="37" t="s">
        <v>27</v>
      </c>
      <c r="AG13" s="37"/>
    </row>
    <row r="14">
      <c r="A14" s="34" t="s">
        <v>42</v>
      </c>
      <c r="B14" s="29" t="s">
        <v>43</v>
      </c>
      <c r="C14" s="11"/>
      <c r="D14" s="31"/>
      <c r="E14" s="30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6"/>
      <c r="W14" s="32" t="s">
        <v>28</v>
      </c>
      <c r="X14" s="32" t="s">
        <v>25</v>
      </c>
      <c r="Y14" s="37" t="s">
        <v>30</v>
      </c>
      <c r="Z14" s="37" t="s">
        <v>30</v>
      </c>
      <c r="AA14" s="32" t="s">
        <v>17</v>
      </c>
      <c r="AB14" s="32"/>
      <c r="AC14" s="36" t="s">
        <v>23</v>
      </c>
      <c r="AD14" s="32" t="s">
        <v>29</v>
      </c>
      <c r="AE14" s="32" t="s">
        <v>23</v>
      </c>
      <c r="AF14" s="37"/>
      <c r="AG14" s="37" t="s">
        <v>27</v>
      </c>
    </row>
    <row r="15">
      <c r="A15" s="34" t="s">
        <v>44</v>
      </c>
      <c r="B15" s="29" t="s">
        <v>45</v>
      </c>
      <c r="C15" s="30"/>
      <c r="D15" s="31"/>
      <c r="E15" s="30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6"/>
      <c r="W15" s="32" t="s">
        <v>23</v>
      </c>
      <c r="X15" s="32" t="s">
        <v>29</v>
      </c>
      <c r="Y15" s="37" t="s">
        <v>28</v>
      </c>
      <c r="Z15" s="37"/>
      <c r="AA15" s="32"/>
      <c r="AB15" s="32" t="s">
        <v>23</v>
      </c>
      <c r="AC15" s="36" t="s">
        <v>25</v>
      </c>
      <c r="AD15" s="32" t="s">
        <v>25</v>
      </c>
      <c r="AE15" s="32" t="s">
        <v>25</v>
      </c>
      <c r="AF15" s="37" t="s">
        <v>30</v>
      </c>
      <c r="AG15" s="37" t="s">
        <v>30</v>
      </c>
    </row>
    <row r="16">
      <c r="A16" s="34" t="s">
        <v>46</v>
      </c>
      <c r="B16" s="29" t="s">
        <v>47</v>
      </c>
      <c r="C16" s="30"/>
      <c r="D16" s="31"/>
      <c r="E16" s="30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6" t="s">
        <v>29</v>
      </c>
      <c r="W16" s="32" t="s">
        <v>20</v>
      </c>
      <c r="X16" s="32" t="s">
        <v>20</v>
      </c>
      <c r="Y16" s="37" t="s">
        <v>26</v>
      </c>
      <c r="Z16" s="37" t="s">
        <v>27</v>
      </c>
      <c r="AA16" s="32" t="s">
        <v>20</v>
      </c>
      <c r="AB16" s="32"/>
      <c r="AC16" s="36"/>
      <c r="AD16" s="32"/>
      <c r="AE16" s="32" t="s">
        <v>17</v>
      </c>
      <c r="AF16" s="37" t="s">
        <v>30</v>
      </c>
      <c r="AG16" s="37" t="s">
        <v>30</v>
      </c>
    </row>
    <row r="17">
      <c r="A17" s="34" t="s">
        <v>48</v>
      </c>
      <c r="B17" s="29" t="s">
        <v>49</v>
      </c>
      <c r="C17" s="30"/>
      <c r="D17" s="31"/>
      <c r="E17" s="30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2" t="s">
        <v>20</v>
      </c>
      <c r="U17" s="32" t="s">
        <v>17</v>
      </c>
      <c r="V17" s="36" t="s">
        <v>17</v>
      </c>
      <c r="W17" s="32" t="s">
        <v>17</v>
      </c>
      <c r="X17" s="32" t="s">
        <v>17</v>
      </c>
      <c r="Y17" s="37" t="s">
        <v>30</v>
      </c>
      <c r="Z17" s="37" t="s">
        <v>30</v>
      </c>
      <c r="AA17" s="32"/>
      <c r="AB17" s="32"/>
      <c r="AC17" s="36"/>
      <c r="AD17" s="32" t="s">
        <v>20</v>
      </c>
      <c r="AE17" s="32" t="s">
        <v>20</v>
      </c>
      <c r="AF17" s="37"/>
      <c r="AG17" s="37"/>
    </row>
    <row r="18">
      <c r="A18" s="39" t="s">
        <v>50</v>
      </c>
      <c r="B18" s="40" t="s">
        <v>11</v>
      </c>
      <c r="C18" s="41" t="s">
        <v>12</v>
      </c>
      <c r="D18" s="40" t="s">
        <v>13</v>
      </c>
      <c r="E18" s="42" t="s">
        <v>14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>
      <c r="A19" s="44" t="s">
        <v>51</v>
      </c>
      <c r="B19" s="45" t="s">
        <v>52</v>
      </c>
      <c r="C19" s="46" t="str">
        <f>VLOOKUP(A19, 'PGY1'!$A$3:$AA$20, 17, FALSE)</f>
        <v>AnUS</v>
      </c>
      <c r="D19" s="47" t="str">
        <f>concatenate(vlookup(A19,'PGY1'!$A$3:$AA$20, 18, false), " / ", vlookup(A19,'PGY1'!$A$3:$AA$20, 19, false))</f>
        <v>BH / J</v>
      </c>
      <c r="E19" s="46" t="str">
        <f>VLOOKUP(A19, 'PGY1'!$A$3:$AA$20, 20, FALSE)</f>
        <v>BK</v>
      </c>
      <c r="F19" s="48" t="s">
        <v>53</v>
      </c>
      <c r="G19" s="48" t="s">
        <v>53</v>
      </c>
      <c r="H19" s="49"/>
      <c r="I19" s="48" t="s">
        <v>54</v>
      </c>
      <c r="J19" s="48" t="s">
        <v>54</v>
      </c>
      <c r="K19" s="37"/>
      <c r="L19" s="37"/>
      <c r="M19" s="48"/>
      <c r="N19" s="48" t="s">
        <v>53</v>
      </c>
      <c r="O19" s="36"/>
      <c r="P19" s="48" t="s">
        <v>53</v>
      </c>
      <c r="Q19" s="48" t="s">
        <v>55</v>
      </c>
      <c r="R19" s="37" t="s">
        <v>55</v>
      </c>
      <c r="S19" s="37" t="s">
        <v>55</v>
      </c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</row>
    <row r="20">
      <c r="A20" s="44" t="s">
        <v>56</v>
      </c>
      <c r="B20" s="45" t="s">
        <v>57</v>
      </c>
      <c r="C20" s="46" t="str">
        <f>VLOOKUP(A20, 'PGY1'!$A$3:$AA$20, 17, FALSE)</f>
        <v>BH</v>
      </c>
      <c r="D20" s="47" t="str">
        <f>concatenate(vlookup(A20,'PGY1'!$A$3:$AA$20, 18, false), " / ", vlookup(A20,'PGY1'!$A$3:$AA$20, 19, false))</f>
        <v>BH / NICU</v>
      </c>
      <c r="E20" s="46" t="str">
        <f>VLOOKUP(A20, 'PGY1'!$A$3:$AA$20, 20, FALSE)</f>
        <v>AnUS</v>
      </c>
      <c r="F20" s="48" t="s">
        <v>26</v>
      </c>
      <c r="G20" s="48" t="s">
        <v>17</v>
      </c>
      <c r="H20" s="49" t="s">
        <v>17</v>
      </c>
      <c r="I20" s="48" t="s">
        <v>17</v>
      </c>
      <c r="J20" s="48"/>
      <c r="K20" s="37" t="s">
        <v>54</v>
      </c>
      <c r="L20" s="37" t="s">
        <v>54</v>
      </c>
      <c r="M20" s="48" t="s">
        <v>53</v>
      </c>
      <c r="N20" s="48" t="s">
        <v>23</v>
      </c>
      <c r="O20" s="36" t="s">
        <v>29</v>
      </c>
      <c r="P20" s="48"/>
      <c r="Q20" s="48"/>
      <c r="R20" s="37"/>
      <c r="S20" s="37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</row>
    <row r="21">
      <c r="A21" s="44" t="s">
        <v>58</v>
      </c>
      <c r="B21" s="45" t="s">
        <v>59</v>
      </c>
      <c r="C21" s="46" t="str">
        <f>VLOOKUP(A21, 'PGY1'!$A$3:$AA$20, 17, FALSE)</f>
        <v>J</v>
      </c>
      <c r="D21" s="47" t="str">
        <f>concatenate(vlookup(A21,'PGY1'!$A$3:$AA$20, 18, false), " / ", vlookup(A21,'PGY1'!$A$3:$AA$20, 19, false))</f>
        <v>TH / TH</v>
      </c>
      <c r="E21" s="46" t="str">
        <f>VLOOKUP(A21, 'PGY1'!$A$3:$AA$20, 20, FALSE)</f>
        <v>SICU</v>
      </c>
      <c r="F21" s="48" t="s">
        <v>55</v>
      </c>
      <c r="G21" s="48" t="s">
        <v>55</v>
      </c>
      <c r="H21" s="49" t="s">
        <v>55</v>
      </c>
      <c r="I21" s="48" t="s">
        <v>55</v>
      </c>
      <c r="J21" s="48"/>
      <c r="K21" s="37" t="s">
        <v>60</v>
      </c>
      <c r="L21" s="37" t="s">
        <v>60</v>
      </c>
      <c r="M21" s="48" t="s">
        <v>54</v>
      </c>
      <c r="N21" s="48" t="s">
        <v>54</v>
      </c>
      <c r="O21" s="36"/>
      <c r="P21" s="48" t="s">
        <v>54</v>
      </c>
      <c r="Q21" s="48" t="s">
        <v>54</v>
      </c>
      <c r="R21" s="37"/>
      <c r="S21" s="37"/>
      <c r="T21" s="48"/>
      <c r="U21" s="48" t="s">
        <v>53</v>
      </c>
      <c r="V21" s="36"/>
      <c r="W21" s="48" t="s">
        <v>54</v>
      </c>
      <c r="X21" s="48"/>
      <c r="Y21" s="37" t="s">
        <v>60</v>
      </c>
      <c r="Z21" s="37" t="s">
        <v>60</v>
      </c>
      <c r="AA21" s="48"/>
      <c r="AB21" s="48" t="s">
        <v>17</v>
      </c>
      <c r="AC21" s="36" t="s">
        <v>55</v>
      </c>
      <c r="AD21" s="48" t="s">
        <v>55</v>
      </c>
      <c r="AE21" s="48" t="s">
        <v>55</v>
      </c>
      <c r="AF21" s="37"/>
      <c r="AG21" s="37"/>
    </row>
    <row r="22">
      <c r="A22" s="44" t="s">
        <v>61</v>
      </c>
      <c r="B22" s="45" t="s">
        <v>62</v>
      </c>
      <c r="C22" s="46" t="str">
        <f>VLOOKUP(A22, 'PGY1'!$A$3:$AA$20, 17, FALSE)</f>
        <v>M</v>
      </c>
      <c r="D22" s="47" t="str">
        <f>concatenate(vlookup(A22,'PGY1'!$A$3:$AA$20, 18, false), " / ", vlookup(A22,'PGY1'!$A$3:$AA$20, 19, false))</f>
        <v>TH / BH</v>
      </c>
      <c r="E22" s="46" t="str">
        <f>VLOOKUP(A22, 'PGY1'!$A$3:$AA$20, 20, FALSE)</f>
        <v>V</v>
      </c>
      <c r="F22" s="48" t="s">
        <v>54</v>
      </c>
      <c r="G22" s="48" t="s">
        <v>54</v>
      </c>
      <c r="H22" s="49"/>
      <c r="I22" s="48" t="s">
        <v>53</v>
      </c>
      <c r="J22" s="48" t="s">
        <v>55</v>
      </c>
      <c r="K22" s="37" t="s">
        <v>55</v>
      </c>
      <c r="L22" s="37" t="s">
        <v>55</v>
      </c>
      <c r="M22" s="48"/>
      <c r="N22" s="48"/>
      <c r="O22" s="36" t="s">
        <v>63</v>
      </c>
      <c r="P22" s="48" t="s">
        <v>26</v>
      </c>
      <c r="Q22" s="48" t="s">
        <v>28</v>
      </c>
      <c r="R22" s="37" t="s">
        <v>26</v>
      </c>
      <c r="S22" s="37" t="s">
        <v>28</v>
      </c>
      <c r="T22" s="48" t="s">
        <v>64</v>
      </c>
      <c r="U22" s="48" t="s">
        <v>65</v>
      </c>
      <c r="V22" s="36" t="s">
        <v>64</v>
      </c>
      <c r="W22" s="48" t="s">
        <v>65</v>
      </c>
      <c r="X22" s="48"/>
      <c r="Y22" s="37"/>
      <c r="Z22" s="37"/>
      <c r="AA22" s="48" t="s">
        <v>53</v>
      </c>
      <c r="AB22" s="48" t="s">
        <v>26</v>
      </c>
      <c r="AC22" s="36"/>
      <c r="AD22" s="48" t="s">
        <v>26</v>
      </c>
      <c r="AE22" s="48"/>
      <c r="AF22" s="37"/>
      <c r="AG22" s="37"/>
    </row>
    <row r="23">
      <c r="A23" s="44" t="s">
        <v>66</v>
      </c>
      <c r="B23" s="45" t="s">
        <v>67</v>
      </c>
      <c r="C23" s="46" t="str">
        <f>VLOOKUP(A23, 'PGY1'!$A$3:$AA$20, 17, FALSE)</f>
        <v>TH</v>
      </c>
      <c r="D23" s="47" t="str">
        <f>concatenate(vlookup(A23,'PGY1'!$A$3:$AA$20, 18, false), " / ", vlookup(A23,'PGY1'!$A$3:$AA$20, 19, false))</f>
        <v>PSY / BH</v>
      </c>
      <c r="E23" s="46" t="str">
        <f>VLOOKUP(A23, 'PGY1'!$A$3:$AA$20, 20, FALSE)</f>
        <v>TH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48"/>
      <c r="U23" s="48" t="s">
        <v>20</v>
      </c>
      <c r="V23" s="36" t="s">
        <v>20</v>
      </c>
      <c r="W23" s="48" t="s">
        <v>68</v>
      </c>
      <c r="X23" s="48" t="s">
        <v>23</v>
      </c>
      <c r="Y23" s="37"/>
      <c r="Z23" s="37"/>
      <c r="AA23" s="48" t="s">
        <v>23</v>
      </c>
      <c r="AB23" s="48"/>
      <c r="AC23" s="36"/>
      <c r="AD23" s="48" t="s">
        <v>23</v>
      </c>
      <c r="AE23" s="48" t="s">
        <v>64</v>
      </c>
      <c r="AF23" s="37" t="s">
        <v>65</v>
      </c>
      <c r="AG23" s="37" t="s">
        <v>64</v>
      </c>
    </row>
    <row r="24">
      <c r="A24" s="35" t="s">
        <v>69</v>
      </c>
      <c r="B24" s="45" t="s">
        <v>70</v>
      </c>
      <c r="C24" s="46" t="str">
        <f>VLOOKUP(A24, 'PGY1'!$A$3:$AA$20, 17, FALSE)</f>
        <v>BH</v>
      </c>
      <c r="D24" s="47" t="str">
        <f>concatenate(vlookup(A24,'PGY1'!$A$3:$AA$20, 18, false), " / ", vlookup(A24,'PGY1'!$A$3:$AA$20, 19, false))</f>
        <v>BK / TH</v>
      </c>
      <c r="E24" s="46" t="str">
        <f>VLOOKUP(A24, 'PGY1'!$A$3:$AA$20, 20, FALSE)</f>
        <v>MICU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48" t="s">
        <v>25</v>
      </c>
      <c r="U24" s="48" t="s">
        <v>55</v>
      </c>
      <c r="V24" s="36" t="s">
        <v>55</v>
      </c>
      <c r="W24" s="48" t="s">
        <v>64</v>
      </c>
      <c r="X24" s="48" t="s">
        <v>55</v>
      </c>
      <c r="Y24" s="37"/>
      <c r="Z24" s="37"/>
      <c r="AA24" s="48"/>
      <c r="AB24" s="48" t="s">
        <v>54</v>
      </c>
      <c r="AC24" s="36"/>
      <c r="AE24" s="48" t="s">
        <v>53</v>
      </c>
      <c r="AF24" s="37" t="s">
        <v>55</v>
      </c>
      <c r="AG24" s="37" t="s">
        <v>55</v>
      </c>
    </row>
    <row r="25">
      <c r="A25" s="35" t="s">
        <v>71</v>
      </c>
      <c r="B25" s="45" t="s">
        <v>72</v>
      </c>
      <c r="C25" s="46" t="str">
        <f>VLOOKUP(A25, 'PGY1'!$A$3:$AA$20, 17, FALSE)</f>
        <v>TH</v>
      </c>
      <c r="D25" s="47" t="str">
        <f>concatenate(vlookup(A25,'PGY1'!$A$3:$AA$20, 18, false), " / ", vlookup(A25,'PGY1'!$A$3:$AA$20, 19, false))</f>
        <v>PedB / BH</v>
      </c>
      <c r="E25" s="46" t="str">
        <f>VLOOKUP(A25, 'PGY1'!$A$3:$AA$20, 20, FALSE)</f>
        <v>BK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48" t="s">
        <v>65</v>
      </c>
      <c r="U25" s="48" t="s">
        <v>64</v>
      </c>
      <c r="V25" s="36" t="s">
        <v>65</v>
      </c>
      <c r="W25" s="48" t="s">
        <v>55</v>
      </c>
      <c r="X25" s="32"/>
      <c r="Y25" s="37"/>
      <c r="Z25" s="37"/>
      <c r="AA25" s="48" t="s">
        <v>37</v>
      </c>
      <c r="AB25" s="48"/>
      <c r="AC25" s="36"/>
      <c r="AD25" s="48" t="s">
        <v>54</v>
      </c>
      <c r="AE25" s="48" t="s">
        <v>26</v>
      </c>
      <c r="AF25" s="37" t="s">
        <v>26</v>
      </c>
      <c r="AG25" s="37" t="s">
        <v>28</v>
      </c>
    </row>
    <row r="26">
      <c r="A26" s="44" t="s">
        <v>73</v>
      </c>
      <c r="B26" s="45" t="s">
        <v>74</v>
      </c>
      <c r="C26" s="46" t="str">
        <f>VLOOKUP(A26, 'PGY1'!$A$3:$AA$20, 17, FALSE)</f>
        <v>MICU</v>
      </c>
      <c r="D26" s="47" t="str">
        <f>concatenate(vlookup(A26,'PGY1'!$A$3:$AA$20, 18, false), " / ", vlookup(A26,'PGY1'!$A$3:$AA$20, 19, false))</f>
        <v>BK / TH</v>
      </c>
      <c r="E26" s="46" t="str">
        <f>VLOOKUP(A26, 'PGY1'!$A$3:$AA$20, 20, FALSE)</f>
        <v>T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48" t="s">
        <v>54</v>
      </c>
      <c r="U26" s="48" t="s">
        <v>54</v>
      </c>
      <c r="V26" s="36" t="s">
        <v>63</v>
      </c>
      <c r="W26" s="48" t="s">
        <v>53</v>
      </c>
      <c r="X26" s="48" t="s">
        <v>53</v>
      </c>
      <c r="Y26" s="37" t="s">
        <v>55</v>
      </c>
      <c r="Z26" s="37" t="s">
        <v>55</v>
      </c>
      <c r="AA26" s="48" t="s">
        <v>55</v>
      </c>
      <c r="AB26" s="48" t="s">
        <v>55</v>
      </c>
      <c r="AC26" s="36"/>
      <c r="AD26" s="48" t="s">
        <v>53</v>
      </c>
      <c r="AF26" s="37"/>
      <c r="AG26" s="37"/>
    </row>
    <row r="27">
      <c r="A27" s="51" t="s">
        <v>75</v>
      </c>
      <c r="B27" s="40" t="s">
        <v>11</v>
      </c>
      <c r="C27" s="52" t="s">
        <v>12</v>
      </c>
      <c r="D27" s="52" t="s">
        <v>13</v>
      </c>
      <c r="E27" s="52" t="s">
        <v>14</v>
      </c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</row>
    <row r="28">
      <c r="A28" s="54" t="s">
        <v>76</v>
      </c>
      <c r="B28" s="55" t="s">
        <v>77</v>
      </c>
      <c r="C28" s="56" t="str">
        <f>VLOOKUP(A28, 'PGY2'!$A$3:$AA$20, 17, FALSE)</f>
        <v>Ob</v>
      </c>
      <c r="D28" s="47" t="str">
        <f>concatenate(vlookup(A28,'PGY2'!$A$3:$AA$20, 18, false), " / ", vlookup(A28,'PGY2'!$A$3:$AA$20, 19, false))</f>
        <v>BH/TH / PedT</v>
      </c>
      <c r="E28" s="56" t="str">
        <f>VLOOKUP(A28, 'PGY2'!$A$3:$AA$20, 20, FALSE)</f>
        <v>BH/TH</v>
      </c>
      <c r="F28" s="57" t="s">
        <v>68</v>
      </c>
      <c r="G28" s="57" t="s">
        <v>26</v>
      </c>
      <c r="H28" s="58" t="s">
        <v>63</v>
      </c>
      <c r="I28" s="57"/>
      <c r="J28" s="57" t="s">
        <v>53</v>
      </c>
      <c r="K28" s="37"/>
      <c r="L28" s="37"/>
      <c r="M28" s="57" t="s">
        <v>55</v>
      </c>
      <c r="N28" s="57" t="s">
        <v>64</v>
      </c>
      <c r="O28" s="36" t="s">
        <v>65</v>
      </c>
      <c r="P28" s="57" t="s">
        <v>64</v>
      </c>
      <c r="Q28" s="57"/>
      <c r="R28" s="37" t="s">
        <v>28</v>
      </c>
      <c r="S28" s="37" t="s">
        <v>27</v>
      </c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</row>
    <row r="29">
      <c r="A29" s="54" t="s">
        <v>78</v>
      </c>
      <c r="B29" s="55" t="s">
        <v>79</v>
      </c>
      <c r="C29" s="56" t="str">
        <f>VLOOKUP(A29, 'PGY2'!$A$3:$AA$20, 17, FALSE)</f>
        <v>Ortho</v>
      </c>
      <c r="D29" s="47" t="str">
        <f>concatenate(vlookup(A29,'PGY2'!$A$3:$AA$20, 18, false), " / ", vlookup(A29,'PGY2'!$A$3:$AA$20, 19, false))</f>
        <v>BH/TH / AnUS</v>
      </c>
      <c r="E29" s="56" t="str">
        <f>VLOOKUP(A29, 'PGY2'!$A$3:$AA$20, 20, FALSE)</f>
        <v>BH/TH</v>
      </c>
      <c r="F29" s="57" t="s">
        <v>64</v>
      </c>
      <c r="G29" s="57" t="s">
        <v>65</v>
      </c>
      <c r="H29" s="58" t="s">
        <v>64</v>
      </c>
      <c r="I29" s="57" t="s">
        <v>65</v>
      </c>
      <c r="J29" s="57"/>
      <c r="K29" s="37"/>
      <c r="L29" s="37" t="s">
        <v>26</v>
      </c>
      <c r="M29" s="57" t="s">
        <v>68</v>
      </c>
      <c r="N29" s="60"/>
      <c r="O29" s="36"/>
      <c r="P29" s="57"/>
      <c r="Q29" s="57" t="s">
        <v>26</v>
      </c>
      <c r="R29" s="37" t="s">
        <v>27</v>
      </c>
      <c r="S29" s="37" t="s">
        <v>54</v>
      </c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</row>
    <row r="30">
      <c r="A30" s="61" t="s">
        <v>80</v>
      </c>
      <c r="B30" s="55" t="s">
        <v>81</v>
      </c>
      <c r="C30" s="56" t="str">
        <f>VLOOKUP(A30, 'PGY2'!$A$3:$AA$20, 17, FALSE)</f>
        <v>Ortho</v>
      </c>
      <c r="D30" s="47" t="str">
        <f>concatenate(vlookup(A30,'PGY2'!$A$3:$AA$20, 18, false), " / ", vlookup(A30,'PGY2'!$A$3:$AA$20, 19, false))</f>
        <v>BH/TH / PedB</v>
      </c>
      <c r="E30" s="56" t="str">
        <f>VLOOKUP(A30, 'PGY2'!$A$3:$AA$20, 20, FALSE)</f>
        <v>Ob</v>
      </c>
      <c r="F30" s="62" t="s">
        <v>65</v>
      </c>
      <c r="G30" s="62" t="s">
        <v>64</v>
      </c>
      <c r="H30" s="62" t="s">
        <v>65</v>
      </c>
      <c r="I30" s="62" t="s">
        <v>64</v>
      </c>
      <c r="J30" s="60"/>
      <c r="K30" s="63" t="s">
        <v>27</v>
      </c>
      <c r="L30" s="63" t="s">
        <v>27</v>
      </c>
      <c r="M30" s="57" t="s">
        <v>29</v>
      </c>
      <c r="N30" s="64" t="s">
        <v>26</v>
      </c>
      <c r="O30" s="60"/>
      <c r="P30" s="60"/>
      <c r="Q30" s="64" t="s">
        <v>68</v>
      </c>
      <c r="R30" s="65"/>
      <c r="S30" s="65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</row>
    <row r="31">
      <c r="A31" s="61" t="s">
        <v>82</v>
      </c>
      <c r="B31" s="55" t="s">
        <v>83</v>
      </c>
      <c r="C31" s="56" t="str">
        <f>VLOOKUP(A31, 'PGY2'!$A$3:$AA$20, 17, FALSE)</f>
        <v>PedB</v>
      </c>
      <c r="D31" s="47" t="str">
        <f>concatenate(vlookup(A31,'PGY2'!$A$3:$AA$20, 18, false), " / ", vlookup(A31,'PGY2'!$A$3:$AA$20, 19, false))</f>
        <v>BH/TH / BH/TH</v>
      </c>
      <c r="E31" s="56" t="str">
        <f>VLOOKUP(A31, 'PGY2'!$A$3:$AA$20, 20, FALSE)</f>
        <v>BH/TH</v>
      </c>
      <c r="F31" s="66" t="s">
        <v>23</v>
      </c>
      <c r="G31" s="66" t="s">
        <v>29</v>
      </c>
      <c r="H31" s="60"/>
      <c r="I31" s="66" t="s">
        <v>23</v>
      </c>
      <c r="J31" s="62" t="s">
        <v>64</v>
      </c>
      <c r="K31" s="67" t="s">
        <v>65</v>
      </c>
      <c r="L31" s="67" t="s">
        <v>64</v>
      </c>
      <c r="M31" s="62" t="s">
        <v>65</v>
      </c>
      <c r="N31" s="60"/>
      <c r="O31" s="68" t="s">
        <v>20</v>
      </c>
      <c r="P31" s="69" t="s">
        <v>29</v>
      </c>
      <c r="Q31" s="69" t="s">
        <v>23</v>
      </c>
      <c r="R31" s="65"/>
      <c r="S31" s="65"/>
      <c r="T31" s="57" t="s">
        <v>68</v>
      </c>
      <c r="U31" s="57" t="s">
        <v>37</v>
      </c>
      <c r="V31" s="70"/>
      <c r="W31" s="70" t="s">
        <v>84</v>
      </c>
      <c r="X31" s="57" t="s">
        <v>64</v>
      </c>
      <c r="Y31" s="37" t="s">
        <v>65</v>
      </c>
      <c r="Z31" s="37" t="s">
        <v>64</v>
      </c>
      <c r="AA31" s="57"/>
      <c r="AB31" s="57" t="s">
        <v>29</v>
      </c>
      <c r="AC31" s="36" t="s">
        <v>20</v>
      </c>
      <c r="AD31" s="57" t="s">
        <v>68</v>
      </c>
      <c r="AE31" s="57"/>
      <c r="AF31" s="37"/>
      <c r="AG31" s="37"/>
    </row>
    <row r="32">
      <c r="A32" s="54" t="s">
        <v>85</v>
      </c>
      <c r="B32" s="55" t="s">
        <v>86</v>
      </c>
      <c r="C32" s="56" t="str">
        <f>VLOOKUP(A32, 'PGY2'!$A$3:$AA$20, 17, FALSE)</f>
        <v>BK</v>
      </c>
      <c r="D32" s="47" t="str">
        <f>concatenate(vlookup(A32,'PGY2'!$A$3:$AA$20, 18, false), " / ", vlookup(A32,'PGY2'!$A$3:$AA$20, 19, false))</f>
        <v>BH/TH / BH/TH</v>
      </c>
      <c r="E32" s="56" t="str">
        <f>VLOOKUP(A32, 'PGY2'!$A$3:$AA$20, 20, FALSE)</f>
        <v>Ortho</v>
      </c>
      <c r="F32" s="57" t="s">
        <v>37</v>
      </c>
      <c r="G32" s="57" t="s">
        <v>68</v>
      </c>
      <c r="H32" s="58"/>
      <c r="I32" s="57" t="s">
        <v>28</v>
      </c>
      <c r="J32" s="57" t="s">
        <v>65</v>
      </c>
      <c r="K32" s="37" t="s">
        <v>64</v>
      </c>
      <c r="L32" s="37" t="s">
        <v>65</v>
      </c>
      <c r="M32" s="57" t="s">
        <v>64</v>
      </c>
      <c r="N32" s="57" t="s">
        <v>55</v>
      </c>
      <c r="O32" s="36"/>
      <c r="P32" s="57" t="s">
        <v>68</v>
      </c>
      <c r="Q32" s="57" t="s">
        <v>53</v>
      </c>
      <c r="R32" s="37"/>
      <c r="S32" s="37"/>
      <c r="T32" s="57" t="s">
        <v>26</v>
      </c>
      <c r="U32" s="57" t="s">
        <v>28</v>
      </c>
      <c r="V32" s="70" t="s">
        <v>87</v>
      </c>
      <c r="W32" s="70" t="s">
        <v>88</v>
      </c>
      <c r="X32" s="57"/>
      <c r="Y32" s="37"/>
      <c r="Z32" s="37"/>
      <c r="AA32" s="57" t="s">
        <v>29</v>
      </c>
      <c r="AB32" s="57" t="s">
        <v>53</v>
      </c>
      <c r="AC32" s="36" t="s">
        <v>64</v>
      </c>
      <c r="AD32" s="57"/>
      <c r="AE32" s="57" t="s">
        <v>68</v>
      </c>
      <c r="AF32" s="37" t="s">
        <v>27</v>
      </c>
      <c r="AG32" s="37" t="s">
        <v>27</v>
      </c>
    </row>
    <row r="33">
      <c r="A33" s="54" t="s">
        <v>89</v>
      </c>
      <c r="B33" s="55" t="s">
        <v>90</v>
      </c>
      <c r="C33" s="56" t="str">
        <f>VLOOKUP(A33, 'PGY2'!$A$3:$AA$20, 17, FALSE)</f>
        <v>BH/TH</v>
      </c>
      <c r="D33" s="47" t="str">
        <f>concatenate(vlookup(A33,'PGY2'!$A$3:$AA$20, 18, false), " / ", vlookup(A33,'PGY2'!$A$3:$AA$20, 19, false))</f>
        <v>BH/TH / BH/TH</v>
      </c>
      <c r="E33" s="56" t="str">
        <f>VLOOKUP(A33, 'PGY2'!$A$3:$AA$20, 20, FALSE)</f>
        <v>EMS</v>
      </c>
      <c r="F33" s="57" t="s">
        <v>28</v>
      </c>
      <c r="G33" s="57" t="s">
        <v>37</v>
      </c>
      <c r="H33" s="58"/>
      <c r="I33" s="57" t="s">
        <v>68</v>
      </c>
      <c r="J33" s="57" t="s">
        <v>68</v>
      </c>
      <c r="K33" s="37" t="s">
        <v>28</v>
      </c>
      <c r="L33" s="37"/>
      <c r="M33" s="63" t="s">
        <v>28</v>
      </c>
      <c r="N33" s="57" t="s">
        <v>68</v>
      </c>
      <c r="O33" s="36" t="s">
        <v>55</v>
      </c>
      <c r="P33" s="57" t="s">
        <v>65</v>
      </c>
      <c r="Q33" s="57" t="s">
        <v>64</v>
      </c>
      <c r="R33" s="37" t="s">
        <v>65</v>
      </c>
      <c r="S33" s="37" t="s">
        <v>64</v>
      </c>
      <c r="T33" s="57" t="s">
        <v>55</v>
      </c>
      <c r="U33" s="57"/>
      <c r="V33" s="70" t="s">
        <v>91</v>
      </c>
      <c r="W33" s="70" t="s">
        <v>3</v>
      </c>
      <c r="X33" s="57" t="s">
        <v>28</v>
      </c>
      <c r="Y33" s="37"/>
      <c r="Z33" s="37"/>
      <c r="AA33" s="57" t="s">
        <v>68</v>
      </c>
      <c r="AB33" s="57" t="s">
        <v>28</v>
      </c>
      <c r="AC33" s="36" t="s">
        <v>29</v>
      </c>
      <c r="AD33" s="57"/>
      <c r="AE33" s="57" t="s">
        <v>54</v>
      </c>
      <c r="AF33" s="37"/>
      <c r="AG33" s="37"/>
    </row>
    <row r="34">
      <c r="A34" s="61" t="s">
        <v>92</v>
      </c>
      <c r="B34" s="55" t="s">
        <v>93</v>
      </c>
      <c r="C34" s="56" t="str">
        <f>VLOOKUP(A34, 'PGY2'!$A$3:$AA$20, 17, FALSE)</f>
        <v>J</v>
      </c>
      <c r="D34" s="47" t="str">
        <f>concatenate(vlookup(A34,'PGY2'!$A$3:$AA$20, 18, false), " / ", vlookup(A34,'PGY2'!$A$3:$AA$20, 19, false))</f>
        <v>BH/TH / BH/TH</v>
      </c>
      <c r="E34" s="56" t="str">
        <f>VLOOKUP(A34, 'PGY2'!$A$3:$AA$20, 20, FALSE)</f>
        <v>V</v>
      </c>
      <c r="F34" s="57" t="s">
        <v>29</v>
      </c>
      <c r="G34" s="57" t="s">
        <v>28</v>
      </c>
      <c r="H34" s="58" t="s">
        <v>20</v>
      </c>
      <c r="I34" s="57" t="s">
        <v>26</v>
      </c>
      <c r="J34" s="57" t="s">
        <v>28</v>
      </c>
      <c r="K34" s="37"/>
      <c r="L34" s="37"/>
      <c r="M34" s="57" t="s">
        <v>23</v>
      </c>
      <c r="N34" s="57" t="s">
        <v>65</v>
      </c>
      <c r="O34" s="36" t="s">
        <v>64</v>
      </c>
      <c r="P34" s="57" t="s">
        <v>55</v>
      </c>
      <c r="Q34" s="57" t="s">
        <v>65</v>
      </c>
      <c r="R34" s="37" t="s">
        <v>64</v>
      </c>
      <c r="S34" s="37" t="s">
        <v>65</v>
      </c>
      <c r="T34" s="57"/>
      <c r="U34" s="57" t="s">
        <v>26</v>
      </c>
      <c r="V34" s="70" t="s">
        <v>94</v>
      </c>
      <c r="W34" s="70" t="s">
        <v>84</v>
      </c>
      <c r="X34" s="57"/>
      <c r="Y34" s="37" t="s">
        <v>27</v>
      </c>
      <c r="Z34" s="37" t="s">
        <v>27</v>
      </c>
      <c r="AA34" s="57" t="s">
        <v>26</v>
      </c>
      <c r="AB34" s="57" t="s">
        <v>68</v>
      </c>
      <c r="AC34" s="36"/>
      <c r="AD34" s="57"/>
      <c r="AE34" s="57" t="s">
        <v>28</v>
      </c>
      <c r="AF34" s="37"/>
      <c r="AG34" s="37"/>
    </row>
    <row r="35">
      <c r="A35" s="38" t="s">
        <v>95</v>
      </c>
      <c r="B35" s="55" t="s">
        <v>96</v>
      </c>
      <c r="C35" s="56" t="str">
        <f>VLOOKUP(A35, 'PGY2'!$A$3:$AA$20, 17, FALSE)</f>
        <v>BH/TH</v>
      </c>
      <c r="D35" s="47" t="str">
        <f>concatenate(vlookup(A35,'PGY2'!$A$3:$AA$20, 18, false), " / ", vlookup(A35,'PGY2'!$A$3:$AA$20, 19, false))</f>
        <v>EMS / BH/TH</v>
      </c>
      <c r="E35" s="56" t="str">
        <f>VLOOKUP(A35, 'PGY2'!$A$3:$AA$20, 20, FALSE)</f>
        <v>BH/TH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7" t="s">
        <v>28</v>
      </c>
      <c r="U35" s="57" t="s">
        <v>68</v>
      </c>
      <c r="V35" s="70">
        <v>2.0</v>
      </c>
      <c r="W35" s="70" t="s">
        <v>88</v>
      </c>
      <c r="X35" s="57" t="s">
        <v>54</v>
      </c>
      <c r="Y35" s="37"/>
      <c r="Z35" s="37"/>
      <c r="AA35" s="57" t="s">
        <v>54</v>
      </c>
      <c r="AB35" s="57" t="s">
        <v>37</v>
      </c>
      <c r="AC35" s="36" t="s">
        <v>63</v>
      </c>
      <c r="AD35" s="57" t="s">
        <v>65</v>
      </c>
      <c r="AE35" s="57" t="s">
        <v>65</v>
      </c>
      <c r="AF35" s="37" t="s">
        <v>64</v>
      </c>
      <c r="AG35" s="37" t="s">
        <v>65</v>
      </c>
    </row>
    <row r="36">
      <c r="A36" s="38" t="s">
        <v>97</v>
      </c>
      <c r="B36" s="55" t="s">
        <v>98</v>
      </c>
      <c r="C36" s="56" t="str">
        <f>VLOOKUP(A36, 'PGY2'!$A$3:$AA$20, 17, FALSE)</f>
        <v>BH/TH</v>
      </c>
      <c r="D36" s="47" t="str">
        <f>concatenate(vlookup(A36,'PGY2'!$A$3:$AA$20, 18, false), " / ", vlookup(A36,'PGY2'!$A$3:$AA$20, 19, false))</f>
        <v>J / BH/TH</v>
      </c>
      <c r="E36" s="56" t="str">
        <f>VLOOKUP(A36, 'PGY2'!$A$3:$AA$20, 20, FALSE)</f>
        <v>CCU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7" t="s">
        <v>23</v>
      </c>
      <c r="U36" s="57" t="s">
        <v>29</v>
      </c>
      <c r="V36" s="70"/>
      <c r="W36" s="70" t="s">
        <v>99</v>
      </c>
      <c r="X36" s="57" t="s">
        <v>68</v>
      </c>
      <c r="Y36" s="37"/>
      <c r="Z36" s="37"/>
      <c r="AA36" s="57" t="s">
        <v>65</v>
      </c>
      <c r="AB36" s="57" t="s">
        <v>64</v>
      </c>
      <c r="AC36" s="36" t="s">
        <v>65</v>
      </c>
      <c r="AD36" s="57" t="s">
        <v>64</v>
      </c>
      <c r="AE36" s="57"/>
      <c r="AF36" s="37" t="s">
        <v>28</v>
      </c>
      <c r="AG36" s="37" t="s">
        <v>26</v>
      </c>
    </row>
    <row r="37">
      <c r="A37" s="61" t="s">
        <v>100</v>
      </c>
      <c r="B37" s="55" t="s">
        <v>101</v>
      </c>
      <c r="C37" s="56" t="str">
        <f>VLOOKUP(A37, 'PGY2'!$A$3:$AA$20, 17, FALSE)</f>
        <v>V</v>
      </c>
      <c r="D37" s="47" t="str">
        <f>concatenate(vlookup(A37,'PGY2'!$A$3:$AA$20, 18, false), " / ", vlookup(A37,'PGY2'!$A$3:$AA$20, 19, false))</f>
        <v>PedB / BH/TH</v>
      </c>
      <c r="E37" s="56" t="str">
        <f>VLOOKUP(A37, 'PGY2'!$A$3:$AA$20, 20, FALSE)</f>
        <v>BH/TH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7" t="s">
        <v>53</v>
      </c>
      <c r="U37" s="57" t="s">
        <v>23</v>
      </c>
      <c r="V37" s="70"/>
      <c r="W37" s="70" t="s">
        <v>3</v>
      </c>
      <c r="X37" s="57" t="s">
        <v>65</v>
      </c>
      <c r="Y37" s="37" t="s">
        <v>64</v>
      </c>
      <c r="Z37" s="37" t="s">
        <v>65</v>
      </c>
      <c r="AA37" s="57" t="s">
        <v>64</v>
      </c>
      <c r="AB37" s="57" t="s">
        <v>65</v>
      </c>
      <c r="AC37" s="36"/>
      <c r="AD37" s="57" t="s">
        <v>28</v>
      </c>
      <c r="AE37" s="57" t="s">
        <v>29</v>
      </c>
      <c r="AF37" s="37"/>
      <c r="AG37" s="37"/>
    </row>
    <row r="38">
      <c r="A38" s="71" t="s">
        <v>102</v>
      </c>
      <c r="B38" s="40" t="s">
        <v>11</v>
      </c>
      <c r="C38" s="40" t="s">
        <v>12</v>
      </c>
      <c r="D38" s="40" t="s">
        <v>13</v>
      </c>
      <c r="E38" s="40" t="s">
        <v>14</v>
      </c>
      <c r="F38" s="43">
        <f t="shared" ref="F38:AA38" si="3">COUNTIF(F$39:F$68,"N")</f>
        <v>0</v>
      </c>
      <c r="G38" s="43">
        <f t="shared" si="3"/>
        <v>0</v>
      </c>
      <c r="H38" s="43">
        <f t="shared" si="3"/>
        <v>0</v>
      </c>
      <c r="I38" s="43">
        <f t="shared" si="3"/>
        <v>0</v>
      </c>
      <c r="J38" s="43">
        <f t="shared" si="3"/>
        <v>0</v>
      </c>
      <c r="K38" s="43">
        <f t="shared" si="3"/>
        <v>0</v>
      </c>
      <c r="L38" s="43">
        <f t="shared" si="3"/>
        <v>0</v>
      </c>
      <c r="M38" s="43">
        <f t="shared" si="3"/>
        <v>0</v>
      </c>
      <c r="N38" s="43">
        <f t="shared" si="3"/>
        <v>0</v>
      </c>
      <c r="O38" s="43">
        <f t="shared" si="3"/>
        <v>0</v>
      </c>
      <c r="P38" s="43">
        <f t="shared" si="3"/>
        <v>0</v>
      </c>
      <c r="Q38" s="43">
        <f t="shared" si="3"/>
        <v>0</v>
      </c>
      <c r="R38" s="43">
        <f t="shared" si="3"/>
        <v>0</v>
      </c>
      <c r="S38" s="43">
        <f t="shared" si="3"/>
        <v>0</v>
      </c>
      <c r="T38" s="43">
        <f t="shared" si="3"/>
        <v>0</v>
      </c>
      <c r="U38" s="43">
        <f t="shared" si="3"/>
        <v>0</v>
      </c>
      <c r="V38" s="43">
        <f t="shared" si="3"/>
        <v>0</v>
      </c>
      <c r="W38" s="43">
        <f t="shared" si="3"/>
        <v>0</v>
      </c>
      <c r="X38" s="43">
        <f t="shared" si="3"/>
        <v>0</v>
      </c>
      <c r="Y38" s="43">
        <f t="shared" si="3"/>
        <v>0</v>
      </c>
      <c r="Z38" s="43">
        <f t="shared" si="3"/>
        <v>0</v>
      </c>
      <c r="AA38" s="43">
        <f t="shared" si="3"/>
        <v>0</v>
      </c>
      <c r="AB38" s="43">
        <f>COUNTIF(AB$39:AB$67,"N")</f>
        <v>0</v>
      </c>
      <c r="AC38" s="43">
        <f t="shared" ref="AC38:AG38" si="4">COUNTIF(AC$39:AC$68,"N")</f>
        <v>0</v>
      </c>
      <c r="AD38" s="43">
        <f t="shared" si="4"/>
        <v>0</v>
      </c>
      <c r="AE38" s="43">
        <f t="shared" si="4"/>
        <v>0</v>
      </c>
      <c r="AF38" s="43">
        <f t="shared" si="4"/>
        <v>0</v>
      </c>
      <c r="AG38" s="43">
        <f t="shared" si="4"/>
        <v>0</v>
      </c>
    </row>
    <row r="39">
      <c r="A39" s="38" t="s">
        <v>103</v>
      </c>
      <c r="B39" s="55" t="s">
        <v>104</v>
      </c>
      <c r="C39" s="56" t="str">
        <f>VLOOKUP(A39, 'PGY3'!$A$3:$AA$20, 17, FALSE)</f>
        <v>Elec</v>
      </c>
      <c r="D39" s="47" t="str">
        <f>concatenate(vlookup(A39,'PGY3'!$A$3:$AA$20, 18, false), " / ", vlookup(A39,'PGY3'!$A$3:$AA$20, 19, false))</f>
        <v>ED / Elec</v>
      </c>
      <c r="E39" s="56" t="str">
        <f>VLOOKUP(A39, 'PGY3'!$A$3:$AA$20, 20, FALSE)</f>
        <v>MICU</v>
      </c>
      <c r="F39" s="63" t="s">
        <v>105</v>
      </c>
      <c r="G39" s="63" t="s">
        <v>106</v>
      </c>
      <c r="H39" s="66" t="s">
        <v>23</v>
      </c>
      <c r="I39" s="66" t="s">
        <v>107</v>
      </c>
      <c r="J39" s="72" t="s">
        <v>108</v>
      </c>
      <c r="K39" s="67" t="s">
        <v>108</v>
      </c>
      <c r="L39" s="73" t="s">
        <v>109</v>
      </c>
      <c r="M39" s="60"/>
      <c r="N39" s="60" t="s">
        <v>110</v>
      </c>
      <c r="O39" s="68" t="s">
        <v>105</v>
      </c>
      <c r="P39" s="60"/>
      <c r="Q39" s="60"/>
      <c r="R39" s="74"/>
      <c r="S39" s="74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</row>
    <row r="40">
      <c r="A40" s="76" t="s">
        <v>111</v>
      </c>
      <c r="B40" s="55"/>
      <c r="C40" s="55" t="s">
        <v>112</v>
      </c>
      <c r="D40" s="77" t="s">
        <v>113</v>
      </c>
      <c r="E40" s="55" t="s">
        <v>114</v>
      </c>
      <c r="F40" s="60" t="s">
        <v>110</v>
      </c>
      <c r="G40" s="63" t="s">
        <v>115</v>
      </c>
      <c r="H40" s="78"/>
      <c r="I40" s="79" t="s">
        <v>116</v>
      </c>
      <c r="J40" s="80" t="s">
        <v>109</v>
      </c>
      <c r="K40" s="73" t="s">
        <v>109</v>
      </c>
      <c r="L40" s="67" t="s">
        <v>108</v>
      </c>
      <c r="M40" s="60"/>
      <c r="N40" s="60"/>
      <c r="O40" s="68" t="s">
        <v>106</v>
      </c>
      <c r="P40" s="60" t="s">
        <v>117</v>
      </c>
      <c r="Q40" s="60" t="s">
        <v>110</v>
      </c>
      <c r="R40" s="74"/>
      <c r="S40" s="74"/>
      <c r="T40" s="79" t="s">
        <v>115</v>
      </c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</row>
    <row r="41">
      <c r="A41" s="76" t="s">
        <v>118</v>
      </c>
      <c r="B41" s="55" t="s">
        <v>119</v>
      </c>
      <c r="C41" s="56" t="str">
        <f>VLOOKUP(A41, 'PGY3'!$A$3:$AA$20, 17, FALSE)</f>
        <v>Hand</v>
      </c>
      <c r="D41" s="47" t="str">
        <f>concatenate(vlookup(A41,'PGY3'!$A$3:$AA$20, 18, false), " / ", vlookup(A41,'PGY3'!$A$3:$AA$20, 19, false))</f>
        <v>ED / ED</v>
      </c>
      <c r="E41" s="56" t="str">
        <f>VLOOKUP(A41, 'PGY3'!$A$3:$AA$20, 20, FALSE)</f>
        <v>ED</v>
      </c>
      <c r="F41" s="60"/>
      <c r="G41" s="60"/>
      <c r="H41" s="78"/>
      <c r="I41" s="81" t="s">
        <v>120</v>
      </c>
      <c r="J41" s="63" t="s">
        <v>106</v>
      </c>
      <c r="K41" s="74"/>
      <c r="L41" s="74"/>
      <c r="M41" s="82" t="s">
        <v>121</v>
      </c>
      <c r="N41" s="63" t="s">
        <v>105</v>
      </c>
      <c r="O41" s="68" t="s">
        <v>115</v>
      </c>
      <c r="P41" s="63" t="s">
        <v>28</v>
      </c>
      <c r="Q41" s="72" t="s">
        <v>108</v>
      </c>
      <c r="R41" s="67" t="s">
        <v>108</v>
      </c>
      <c r="S41" s="67" t="s">
        <v>108</v>
      </c>
      <c r="T41" s="79"/>
      <c r="U41" s="79" t="s">
        <v>105</v>
      </c>
      <c r="V41" s="36" t="s">
        <v>106</v>
      </c>
      <c r="W41" s="79" t="s">
        <v>105</v>
      </c>
      <c r="X41" s="79" t="s">
        <v>107</v>
      </c>
      <c r="Y41" s="37"/>
      <c r="Z41" s="37"/>
      <c r="AA41" s="79" t="s">
        <v>105</v>
      </c>
      <c r="AB41" s="79" t="s">
        <v>106</v>
      </c>
      <c r="AC41" s="36" t="s">
        <v>107</v>
      </c>
      <c r="AD41" s="79"/>
      <c r="AE41" s="79"/>
      <c r="AF41" s="37" t="s">
        <v>122</v>
      </c>
      <c r="AG41" s="37" t="s">
        <v>122</v>
      </c>
    </row>
    <row r="42">
      <c r="A42" s="83" t="s">
        <v>123</v>
      </c>
      <c r="B42" s="55" t="s">
        <v>124</v>
      </c>
      <c r="C42" s="56" t="str">
        <f>VLOOKUP(A42, 'PGY3'!$A$3:$AA$20, 17, FALSE)</f>
        <v>ED</v>
      </c>
      <c r="D42" s="47" t="str">
        <f>concatenate(vlookup(A42,'PGY3'!$A$3:$AA$20, 18, false), " / ", vlookup(A42,'PGY3'!$A$3:$AA$20, 19, false))</f>
        <v>ED / ED</v>
      </c>
      <c r="E42" s="56" t="str">
        <f>VLOOKUP(A42, 'PGY3'!$A$3:$AA$20, 20, FALSE)</f>
        <v>MICU</v>
      </c>
      <c r="F42" s="66" t="s">
        <v>107</v>
      </c>
      <c r="G42" s="63" t="s">
        <v>105</v>
      </c>
      <c r="H42" s="63" t="s">
        <v>105</v>
      </c>
      <c r="I42" s="60"/>
      <c r="J42" s="44" t="s">
        <v>116</v>
      </c>
      <c r="K42" s="68" t="s">
        <v>125</v>
      </c>
      <c r="L42" s="84" t="s">
        <v>116</v>
      </c>
      <c r="M42" s="63" t="s">
        <v>106</v>
      </c>
      <c r="N42" s="63" t="s">
        <v>37</v>
      </c>
      <c r="O42" s="78"/>
      <c r="P42" s="63" t="s">
        <v>106</v>
      </c>
      <c r="Q42" s="63" t="s">
        <v>105</v>
      </c>
      <c r="R42" s="74"/>
      <c r="S42" s="74"/>
      <c r="T42" s="79"/>
      <c r="U42" s="79" t="s">
        <v>106</v>
      </c>
      <c r="V42" s="36"/>
      <c r="W42" s="79" t="s">
        <v>109</v>
      </c>
      <c r="X42" s="79" t="s">
        <v>108</v>
      </c>
      <c r="Y42" s="37" t="s">
        <v>108</v>
      </c>
      <c r="Z42" s="37" t="s">
        <v>108</v>
      </c>
      <c r="AA42" s="79"/>
      <c r="AB42" s="79"/>
      <c r="AC42" s="36" t="s">
        <v>105</v>
      </c>
      <c r="AD42" s="79" t="s">
        <v>116</v>
      </c>
      <c r="AE42" s="79" t="s">
        <v>107</v>
      </c>
      <c r="AF42" s="37"/>
      <c r="AG42" s="37"/>
    </row>
    <row r="43">
      <c r="A43" s="38" t="s">
        <v>126</v>
      </c>
      <c r="B43" s="55" t="s">
        <v>127</v>
      </c>
      <c r="C43" s="56" t="str">
        <f>VLOOKUP(A43, 'PGY3'!$A$3:$AA$20, 17, FALSE)</f>
        <v>Tox-H</v>
      </c>
      <c r="D43" s="47" t="str">
        <f>concatenate(vlookup(A43,'PGY3'!$A$3:$AA$20, 18, false), " / ", vlookup(A43,'PGY3'!$A$3:$AA$20, 19, false))</f>
        <v>ED / ED</v>
      </c>
      <c r="E43" s="56" t="str">
        <f>VLOOKUP(A43, 'PGY3'!$A$3:$AA$20, 20, FALSE)</f>
        <v>V</v>
      </c>
      <c r="F43" s="60"/>
      <c r="G43" s="60"/>
      <c r="H43" s="82" t="s">
        <v>121</v>
      </c>
      <c r="I43" s="66" t="s">
        <v>128</v>
      </c>
      <c r="J43" s="66" t="s">
        <v>107</v>
      </c>
      <c r="K43" s="74"/>
      <c r="L43" s="74"/>
      <c r="M43" s="72" t="s">
        <v>108</v>
      </c>
      <c r="N43" s="72" t="s">
        <v>108</v>
      </c>
      <c r="O43" s="67" t="s">
        <v>108</v>
      </c>
      <c r="P43" s="72" t="s">
        <v>108</v>
      </c>
      <c r="Q43" s="60"/>
      <c r="R43" s="85" t="s">
        <v>125</v>
      </c>
      <c r="S43" s="85" t="s">
        <v>125</v>
      </c>
      <c r="T43" s="79" t="s">
        <v>106</v>
      </c>
      <c r="U43" s="79" t="s">
        <v>116</v>
      </c>
      <c r="V43" s="36"/>
      <c r="W43" s="79" t="s">
        <v>26</v>
      </c>
      <c r="X43" s="79" t="s">
        <v>115</v>
      </c>
      <c r="Y43" s="37" t="s">
        <v>116</v>
      </c>
      <c r="Z43" s="37" t="s">
        <v>129</v>
      </c>
      <c r="AB43" s="79" t="s">
        <v>117</v>
      </c>
      <c r="AC43" s="36" t="s">
        <v>106</v>
      </c>
      <c r="AD43" s="79"/>
      <c r="AE43" s="79" t="s">
        <v>115</v>
      </c>
      <c r="AF43" s="37"/>
      <c r="AG43" s="37"/>
    </row>
    <row r="44">
      <c r="A44" s="83" t="s">
        <v>130</v>
      </c>
      <c r="B44" s="55" t="s">
        <v>131</v>
      </c>
      <c r="C44" s="56" t="str">
        <f>VLOOKUP(A44, 'PGY3'!$A$3:$AA$20, 17, FALSE)</f>
        <v>BKN</v>
      </c>
      <c r="D44" s="47" t="str">
        <f>concatenate(vlookup(A44,'PGY3'!$A$3:$AA$20, 18, false), " / ", vlookup(A44,'PGY3'!$A$3:$AA$20, 19, false))</f>
        <v>ED / ED</v>
      </c>
      <c r="E44" s="56" t="str">
        <f>VLOOKUP(A44, 'PGY3'!$A$3:$AA$20, 20, FALSE)</f>
        <v>ED</v>
      </c>
      <c r="F44" s="63" t="s">
        <v>106</v>
      </c>
      <c r="G44" s="66" t="s">
        <v>107</v>
      </c>
      <c r="H44" s="63" t="s">
        <v>106</v>
      </c>
      <c r="I44" s="60"/>
      <c r="J44" s="60" t="s">
        <v>117</v>
      </c>
      <c r="K44" s="68" t="s">
        <v>122</v>
      </c>
      <c r="L44" s="68" t="s">
        <v>122</v>
      </c>
      <c r="M44" s="63" t="s">
        <v>37</v>
      </c>
      <c r="N44" s="63" t="s">
        <v>106</v>
      </c>
      <c r="O44" s="78"/>
      <c r="P44" s="82" t="s">
        <v>121</v>
      </c>
      <c r="Q44" s="60"/>
      <c r="R44" s="74"/>
      <c r="S44" s="86" t="s">
        <v>121</v>
      </c>
      <c r="T44" s="44" t="s">
        <v>109</v>
      </c>
      <c r="U44" s="44" t="s">
        <v>108</v>
      </c>
      <c r="V44" s="44" t="s">
        <v>108</v>
      </c>
      <c r="X44" s="79"/>
      <c r="Y44" s="37" t="s">
        <v>115</v>
      </c>
      <c r="Z44" s="37" t="s">
        <v>115</v>
      </c>
      <c r="AA44" s="79" t="s">
        <v>107</v>
      </c>
      <c r="AB44" s="79" t="s">
        <v>105</v>
      </c>
      <c r="AC44" s="36"/>
      <c r="AD44" s="79"/>
      <c r="AE44" s="79" t="s">
        <v>128</v>
      </c>
      <c r="AF44" s="37"/>
      <c r="AG44" s="37"/>
    </row>
    <row r="45">
      <c r="A45" s="38" t="s">
        <v>132</v>
      </c>
      <c r="B45" s="55" t="s">
        <v>133</v>
      </c>
      <c r="C45" s="56" t="str">
        <f>VLOOKUP(A45, 'PGY3'!$A$3:$AA$20, 17, FALSE)</f>
        <v>BKN</v>
      </c>
      <c r="D45" s="47" t="str">
        <f>concatenate(vlookup(A45,'PGY3'!$A$3:$AA$20, 18, false), " / ", vlookup(A45,'PGY3'!$A$3:$AA$20, 19, false))</f>
        <v>ED / ED</v>
      </c>
      <c r="E45" s="56" t="str">
        <f>VLOOKUP(A45, 'PGY3'!$A$3:$AA$20, 20, FALSE)</f>
        <v>Elec</v>
      </c>
      <c r="F45" s="60"/>
      <c r="G45" s="60"/>
      <c r="H45" s="72" t="s">
        <v>108</v>
      </c>
      <c r="I45" s="72" t="s">
        <v>108</v>
      </c>
      <c r="J45" s="60"/>
      <c r="K45" s="74" t="s">
        <v>117</v>
      </c>
      <c r="L45" s="74" t="s">
        <v>117</v>
      </c>
      <c r="M45" s="63" t="s">
        <v>105</v>
      </c>
      <c r="N45" s="87" t="s">
        <v>129</v>
      </c>
      <c r="O45" s="88" t="s">
        <v>121</v>
      </c>
      <c r="P45" s="66" t="s">
        <v>107</v>
      </c>
      <c r="Q45" s="89" t="s">
        <v>128</v>
      </c>
      <c r="R45" s="74"/>
      <c r="S45" s="74"/>
      <c r="T45" s="79" t="s">
        <v>116</v>
      </c>
      <c r="U45" s="79"/>
      <c r="V45" s="36" t="s">
        <v>105</v>
      </c>
      <c r="W45" s="79" t="s">
        <v>107</v>
      </c>
      <c r="X45" s="79" t="s">
        <v>110</v>
      </c>
      <c r="Y45" s="37" t="s">
        <v>122</v>
      </c>
      <c r="Z45" s="37" t="s">
        <v>122</v>
      </c>
      <c r="AA45" s="79"/>
      <c r="AB45" s="79" t="s">
        <v>134</v>
      </c>
      <c r="AC45" s="36" t="s">
        <v>108</v>
      </c>
      <c r="AD45" s="79" t="s">
        <v>108</v>
      </c>
      <c r="AE45" s="79"/>
      <c r="AF45" s="37"/>
      <c r="AG45" s="37"/>
    </row>
    <row r="46">
      <c r="A46" s="38" t="s">
        <v>135</v>
      </c>
      <c r="B46" s="55" t="s">
        <v>136</v>
      </c>
      <c r="C46" s="56" t="str">
        <f>VLOOKUP(A46, 'PGY3'!$A$3:$AA$20, 17, FALSE)</f>
        <v>BKN</v>
      </c>
      <c r="D46" s="47" t="str">
        <f>concatenate(vlookup(A46,'PGY3'!$A$3:$AA$20, 18, false), " / ", vlookup(A46,'PGY3'!$A$3:$AA$20, 19, false))</f>
        <v>ED / ED</v>
      </c>
      <c r="E46" s="56" t="str">
        <f>VLOOKUP(A46, 'PGY3'!$A$3:$AA$20, 20, FALSE)</f>
        <v>ED</v>
      </c>
      <c r="F46" s="60"/>
      <c r="G46" s="60"/>
      <c r="H46" s="66" t="s">
        <v>107</v>
      </c>
      <c r="I46" s="63" t="s">
        <v>106</v>
      </c>
      <c r="J46" s="63" t="s">
        <v>105</v>
      </c>
      <c r="K46" s="88" t="s">
        <v>129</v>
      </c>
      <c r="L46" s="68" t="s">
        <v>125</v>
      </c>
      <c r="M46" s="66" t="s">
        <v>107</v>
      </c>
      <c r="N46" s="66" t="s">
        <v>29</v>
      </c>
      <c r="O46" s="78"/>
      <c r="P46" s="63" t="s">
        <v>105</v>
      </c>
      <c r="Q46" s="63" t="s">
        <v>106</v>
      </c>
      <c r="R46" s="74"/>
      <c r="S46" s="74"/>
      <c r="T46" s="79" t="s">
        <v>105</v>
      </c>
      <c r="U46" s="79" t="s">
        <v>110</v>
      </c>
      <c r="V46" s="36" t="s">
        <v>107</v>
      </c>
      <c r="W46" s="79" t="s">
        <v>117</v>
      </c>
      <c r="X46" s="79"/>
      <c r="Y46" s="37"/>
      <c r="Z46" s="37"/>
      <c r="AA46" s="79" t="s">
        <v>121</v>
      </c>
      <c r="AB46" s="79" t="s">
        <v>107</v>
      </c>
      <c r="AC46" s="36"/>
      <c r="AD46" s="79"/>
      <c r="AE46" s="79" t="s">
        <v>108</v>
      </c>
      <c r="AF46" s="37" t="s">
        <v>109</v>
      </c>
      <c r="AG46" s="37" t="s">
        <v>109</v>
      </c>
    </row>
    <row r="47">
      <c r="A47" s="38" t="s">
        <v>137</v>
      </c>
      <c r="B47" s="55" t="s">
        <v>138</v>
      </c>
      <c r="C47" s="56" t="str">
        <f>VLOOKUP(A47, 'PGY3'!$A$3:$AA$20, 17, FALSE)</f>
        <v>ED</v>
      </c>
      <c r="D47" s="47" t="str">
        <f>concatenate(vlookup(A47,'PGY3'!$A$3:$AA$20, 18, false), " / ", vlookup(A47,'PGY3'!$A$3:$AA$20, 19, false))</f>
        <v>ED / ED</v>
      </c>
      <c r="E47" s="56" t="str">
        <f>VLOOKUP(A47, 'PGY3'!$A$3:$AA$20, 20, FALSE)</f>
        <v>Tox-SC</v>
      </c>
      <c r="F47" s="72" t="s">
        <v>108</v>
      </c>
      <c r="G47" s="72" t="s">
        <v>108</v>
      </c>
      <c r="H47" s="78"/>
      <c r="I47" s="87" t="s">
        <v>105</v>
      </c>
      <c r="J47" s="60"/>
      <c r="K47" s="74" t="s">
        <v>116</v>
      </c>
      <c r="L47" s="88" t="s">
        <v>129</v>
      </c>
      <c r="M47" s="90" t="s">
        <v>116</v>
      </c>
      <c r="N47" s="66" t="s">
        <v>107</v>
      </c>
      <c r="O47" s="91" t="s">
        <v>107</v>
      </c>
      <c r="P47" s="60"/>
      <c r="Q47" s="66" t="s">
        <v>107</v>
      </c>
      <c r="R47" s="74"/>
      <c r="S47" s="74"/>
      <c r="T47" s="92" t="s">
        <v>117</v>
      </c>
      <c r="U47" s="92" t="s">
        <v>117</v>
      </c>
      <c r="W47" s="79" t="s">
        <v>116</v>
      </c>
      <c r="X47" s="90" t="s">
        <v>116</v>
      </c>
      <c r="Y47" s="37"/>
      <c r="Z47" s="37"/>
      <c r="AA47" s="44" t="s">
        <v>109</v>
      </c>
      <c r="AB47" s="44" t="s">
        <v>108</v>
      </c>
      <c r="AC47" s="36"/>
      <c r="AD47" s="92" t="s">
        <v>110</v>
      </c>
      <c r="AE47" s="79" t="s">
        <v>106</v>
      </c>
      <c r="AF47" s="37" t="s">
        <v>125</v>
      </c>
      <c r="AG47" s="37" t="s">
        <v>125</v>
      </c>
    </row>
    <row r="48">
      <c r="A48" s="38" t="s">
        <v>139</v>
      </c>
      <c r="B48" s="55" t="s">
        <v>140</v>
      </c>
      <c r="C48" s="56" t="str">
        <f>VLOOKUP(A48, 'PGY3'!$A$3:$AA$20, 17, FALSE)</f>
        <v>Tox-SC</v>
      </c>
      <c r="D48" s="47" t="str">
        <f>concatenate(vlookup(A48,'PGY3'!$A$3:$AA$20, 18, false), " / ", vlookup(A48,'PGY3'!$A$3:$AA$20, 19, false))</f>
        <v>CH / ED</v>
      </c>
      <c r="E48" s="56" t="str">
        <f>VLOOKUP(A48, 'PGY3'!$A$3:$AA$20, 20, FALSE)</f>
        <v>V</v>
      </c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79" t="s">
        <v>108</v>
      </c>
      <c r="U48" s="79" t="s">
        <v>109</v>
      </c>
      <c r="V48" s="36"/>
      <c r="W48" s="79" t="s">
        <v>106</v>
      </c>
      <c r="X48" s="79" t="s">
        <v>106</v>
      </c>
      <c r="Y48" s="37" t="s">
        <v>129</v>
      </c>
      <c r="Z48" s="37" t="s">
        <v>121</v>
      </c>
      <c r="AA48" s="79"/>
      <c r="AB48" s="79" t="s">
        <v>110</v>
      </c>
      <c r="AC48" s="36"/>
      <c r="AD48" s="79" t="s">
        <v>105</v>
      </c>
      <c r="AE48" s="79" t="s">
        <v>121</v>
      </c>
      <c r="AF48" s="37"/>
      <c r="AG48" s="37"/>
    </row>
    <row r="49">
      <c r="A49" s="76" t="s">
        <v>141</v>
      </c>
      <c r="B49" s="55"/>
      <c r="C49" s="55" t="s">
        <v>112</v>
      </c>
      <c r="D49" s="77" t="s">
        <v>142</v>
      </c>
      <c r="E49" s="55" t="s">
        <v>114</v>
      </c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V49" s="36"/>
      <c r="W49" s="44" t="s">
        <v>117</v>
      </c>
      <c r="X49" s="94"/>
      <c r="Y49" s="37" t="s">
        <v>121</v>
      </c>
      <c r="Z49" s="37" t="s">
        <v>116</v>
      </c>
      <c r="AA49" s="79" t="s">
        <v>108</v>
      </c>
      <c r="AB49" s="79" t="s">
        <v>109</v>
      </c>
      <c r="AC49" s="36"/>
      <c r="AD49" s="79" t="s">
        <v>107</v>
      </c>
      <c r="AE49" s="79" t="s">
        <v>105</v>
      </c>
      <c r="AF49" s="37" t="s">
        <v>116</v>
      </c>
      <c r="AG49" s="37" t="s">
        <v>116</v>
      </c>
    </row>
    <row r="50">
      <c r="A50" s="76" t="s">
        <v>143</v>
      </c>
      <c r="B50" s="55"/>
      <c r="C50" s="55" t="s">
        <v>114</v>
      </c>
      <c r="D50" s="77" t="s">
        <v>142</v>
      </c>
      <c r="E50" s="55" t="s">
        <v>144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5"/>
      <c r="U50" s="79"/>
      <c r="V50" s="36" t="s">
        <v>109</v>
      </c>
      <c r="W50" s="79" t="s">
        <v>108</v>
      </c>
      <c r="X50" s="79"/>
      <c r="Y50" s="37" t="s">
        <v>125</v>
      </c>
      <c r="Z50" s="37" t="s">
        <v>125</v>
      </c>
      <c r="AA50" s="79" t="s">
        <v>110</v>
      </c>
      <c r="AC50" s="36" t="s">
        <v>121</v>
      </c>
      <c r="AD50" s="79" t="s">
        <v>106</v>
      </c>
      <c r="AE50" s="79" t="s">
        <v>116</v>
      </c>
      <c r="AF50" s="37"/>
      <c r="AG50" s="37"/>
    </row>
    <row r="51" ht="18.0" customHeight="1">
      <c r="A51" s="96" t="s">
        <v>145</v>
      </c>
      <c r="B51" s="24" t="s">
        <v>11</v>
      </c>
      <c r="C51" s="97" t="s">
        <v>12</v>
      </c>
      <c r="D51" s="97" t="s">
        <v>13</v>
      </c>
      <c r="E51" s="97" t="s">
        <v>146</v>
      </c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</row>
    <row r="52">
      <c r="A52" s="38" t="s">
        <v>147</v>
      </c>
      <c r="B52" s="100" t="s">
        <v>148</v>
      </c>
      <c r="C52" s="56" t="str">
        <f>VLOOKUP(A52, 'PGY4'!$A$3:$AA$20, 17, FALSE)</f>
        <v>ED</v>
      </c>
      <c r="D52" s="47" t="str">
        <f>concatenate(vlookup(A52,'PGY4'!$A$3:$AA$20, 18, false), " / ", vlookup(A52,'PGY4'!$A$3:$AA$20, 19, false))</f>
        <v>ED / Elec/ED</v>
      </c>
      <c r="E52" s="56" t="str">
        <f>VLOOKUP(A52, 'PGY4'!$A$3:$AA$20, 20, FALSE)</f>
        <v>ED</v>
      </c>
      <c r="F52" s="101" t="s">
        <v>149</v>
      </c>
      <c r="G52" s="102" t="s">
        <v>149</v>
      </c>
      <c r="H52" s="103" t="s">
        <v>109</v>
      </c>
      <c r="I52" s="103" t="s">
        <v>109</v>
      </c>
      <c r="J52" s="60"/>
      <c r="K52" s="104" t="s">
        <v>150</v>
      </c>
      <c r="L52" s="104" t="s">
        <v>150</v>
      </c>
      <c r="M52" s="105" t="s">
        <v>150</v>
      </c>
      <c r="N52" s="106" t="s">
        <v>134</v>
      </c>
      <c r="O52" s="68" t="s">
        <v>149</v>
      </c>
      <c r="P52" s="60"/>
      <c r="Q52" s="60"/>
      <c r="R52" s="74" t="s">
        <v>116</v>
      </c>
      <c r="S52" s="74" t="s">
        <v>116</v>
      </c>
      <c r="T52" s="92" t="s">
        <v>151</v>
      </c>
      <c r="U52" s="92"/>
      <c r="V52" s="36"/>
      <c r="W52" s="92"/>
      <c r="X52" s="92"/>
      <c r="Y52" s="37"/>
      <c r="Z52" s="37"/>
      <c r="AA52" s="107"/>
      <c r="AB52" s="107"/>
      <c r="AC52" s="107"/>
      <c r="AD52" s="107"/>
      <c r="AE52" s="107"/>
      <c r="AF52" s="107"/>
      <c r="AG52" s="107"/>
    </row>
    <row r="53">
      <c r="A53" s="76" t="s">
        <v>152</v>
      </c>
      <c r="B53" s="100"/>
      <c r="C53" s="55" t="s">
        <v>114</v>
      </c>
      <c r="D53" s="77" t="s">
        <v>153</v>
      </c>
      <c r="E53" s="55" t="s">
        <v>114</v>
      </c>
      <c r="F53" s="44" t="s">
        <v>128</v>
      </c>
      <c r="G53" s="106" t="s">
        <v>120</v>
      </c>
      <c r="H53" s="78"/>
      <c r="I53" s="60"/>
      <c r="J53" s="108" t="s">
        <v>151</v>
      </c>
      <c r="K53" s="74"/>
      <c r="L53" s="74"/>
      <c r="M53" s="101" t="s">
        <v>149</v>
      </c>
      <c r="N53" s="90" t="s">
        <v>116</v>
      </c>
      <c r="O53" s="78"/>
      <c r="P53" s="101" t="s">
        <v>154</v>
      </c>
      <c r="Q53" s="90" t="s">
        <v>155</v>
      </c>
      <c r="R53" s="67" t="s">
        <v>156</v>
      </c>
      <c r="S53" s="73" t="s">
        <v>109</v>
      </c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</row>
    <row r="54">
      <c r="A54" s="38" t="s">
        <v>157</v>
      </c>
      <c r="B54" s="100" t="s">
        <v>158</v>
      </c>
      <c r="C54" s="56" t="str">
        <f>VLOOKUP(A54, 'PGY4'!$A$3:$AA$20, 17, FALSE)</f>
        <v>ED</v>
      </c>
      <c r="D54" s="47" t="str">
        <f>concatenate(vlookup(A54,'PGY4'!$A$3:$AA$20, 18, false), " / ", vlookup(A54,'PGY4'!$A$3:$AA$20, 19, false))</f>
        <v>ED / Elec</v>
      </c>
      <c r="E54" s="56" t="str">
        <f>VLOOKUP(A54, 'PGY4'!$A$3:$AA$20, 20, FALSE)</f>
        <v>ED</v>
      </c>
      <c r="F54" s="80" t="s">
        <v>109</v>
      </c>
      <c r="G54" s="60"/>
      <c r="H54" s="109"/>
      <c r="I54" s="110"/>
      <c r="J54" s="105" t="s">
        <v>150</v>
      </c>
      <c r="K54" s="68" t="s">
        <v>115</v>
      </c>
      <c r="L54" s="68" t="s">
        <v>149</v>
      </c>
      <c r="M54" s="89" t="s">
        <v>128</v>
      </c>
      <c r="N54" s="60"/>
      <c r="O54" s="78"/>
      <c r="P54" s="89" t="s">
        <v>128</v>
      </c>
      <c r="Q54" s="108" t="s">
        <v>151</v>
      </c>
      <c r="R54" s="74"/>
      <c r="S54" s="74"/>
      <c r="T54" s="107"/>
      <c r="U54" s="107"/>
      <c r="V54" s="111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</row>
    <row r="55">
      <c r="A55" s="38" t="s">
        <v>159</v>
      </c>
      <c r="B55" s="100" t="s">
        <v>160</v>
      </c>
      <c r="C55" s="56" t="str">
        <f>VLOOKUP(A55, 'PGY4'!$A$3:$AA$20, 17, FALSE)</f>
        <v>ED</v>
      </c>
      <c r="D55" s="47" t="str">
        <f>concatenate(vlookup(A55,'PGY4'!$A$3:$AA$20, 18, false), " / ", vlookup(A55,'PGY4'!$A$3:$AA$20, 19, false))</f>
        <v>ED / V</v>
      </c>
      <c r="E55" s="56" t="str">
        <f>VLOOKUP(A55, 'PGY4'!$A$3:$AA$20, 20, FALSE)</f>
        <v>ED</v>
      </c>
      <c r="F55" s="108" t="s">
        <v>151</v>
      </c>
      <c r="G55" s="112" t="s">
        <v>129</v>
      </c>
      <c r="H55" s="89" t="s">
        <v>128</v>
      </c>
      <c r="I55" s="60"/>
      <c r="J55" s="113" t="s">
        <v>156</v>
      </c>
      <c r="K55" s="67" t="s">
        <v>156</v>
      </c>
      <c r="L55" s="67" t="s">
        <v>156</v>
      </c>
      <c r="M55" s="60"/>
      <c r="N55" s="114" t="s">
        <v>150</v>
      </c>
      <c r="O55" s="78"/>
      <c r="P55" s="90" t="s">
        <v>116</v>
      </c>
      <c r="Q55" s="101" t="s">
        <v>149</v>
      </c>
      <c r="R55" s="74"/>
      <c r="S55" s="74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</row>
    <row r="56">
      <c r="A56" s="76" t="s">
        <v>161</v>
      </c>
      <c r="B56" s="100"/>
      <c r="C56" s="55" t="s">
        <v>114</v>
      </c>
      <c r="D56" s="77" t="s">
        <v>162</v>
      </c>
      <c r="E56" s="55" t="s">
        <v>114</v>
      </c>
      <c r="F56" s="113" t="s">
        <v>156</v>
      </c>
      <c r="G56" s="113" t="s">
        <v>156</v>
      </c>
      <c r="H56" s="78"/>
      <c r="I56" s="105" t="s">
        <v>150</v>
      </c>
      <c r="J56" s="115" t="s">
        <v>120</v>
      </c>
      <c r="K56" s="88" t="s">
        <v>121</v>
      </c>
      <c r="L56" s="86" t="s">
        <v>121</v>
      </c>
      <c r="M56" s="116" t="s">
        <v>115</v>
      </c>
      <c r="N56" s="89" t="s">
        <v>128</v>
      </c>
      <c r="O56" s="78"/>
      <c r="P56" s="108" t="s">
        <v>129</v>
      </c>
      <c r="Q56" s="60"/>
      <c r="R56" s="74"/>
      <c r="S56" s="74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</row>
    <row r="57">
      <c r="A57" s="38" t="s">
        <v>163</v>
      </c>
      <c r="B57" s="100" t="s">
        <v>164</v>
      </c>
      <c r="C57" s="56" t="str">
        <f>VLOOKUP(A57, 'PGY4'!$A$3:$AA$20, 17, FALSE)</f>
        <v>BKN</v>
      </c>
      <c r="D57" s="47" t="str">
        <f>concatenate(vlookup(A57,'PGY4'!$A$3:$AA$20, 18, false), " / ", vlookup(A57,'PGY4'!$A$3:$AA$20, 19, false))</f>
        <v>ED / ED</v>
      </c>
      <c r="E57" s="56" t="str">
        <f>VLOOKUP(A57, 'PGY4'!$A$3:$AA$20, 20, FALSE)</f>
        <v>ED</v>
      </c>
      <c r="F57" s="44" t="s">
        <v>129</v>
      </c>
      <c r="G57" s="106" t="s">
        <v>134</v>
      </c>
      <c r="H57" s="78"/>
      <c r="I57" s="90" t="s">
        <v>110</v>
      </c>
      <c r="J57" s="60"/>
      <c r="K57" s="74"/>
      <c r="L57" s="74"/>
      <c r="M57" s="90" t="s">
        <v>117</v>
      </c>
      <c r="N57" s="112" t="s">
        <v>115</v>
      </c>
      <c r="P57" s="105" t="s">
        <v>150</v>
      </c>
      <c r="Q57" s="88" t="s">
        <v>129</v>
      </c>
      <c r="R57" s="68" t="s">
        <v>149</v>
      </c>
      <c r="S57" s="88" t="s">
        <v>129</v>
      </c>
      <c r="T57" s="92" t="s">
        <v>129</v>
      </c>
      <c r="U57" s="92" t="s">
        <v>115</v>
      </c>
      <c r="V57" s="36"/>
      <c r="W57" s="92" t="s">
        <v>151</v>
      </c>
      <c r="X57" s="92" t="s">
        <v>151</v>
      </c>
      <c r="Y57" s="74"/>
      <c r="Z57" s="74"/>
      <c r="AA57" s="44" t="s">
        <v>117</v>
      </c>
      <c r="AB57" s="117" t="s">
        <v>150</v>
      </c>
      <c r="AD57" s="92" t="s">
        <v>117</v>
      </c>
      <c r="AE57" s="92" t="s">
        <v>109</v>
      </c>
      <c r="AF57" s="37" t="s">
        <v>155</v>
      </c>
      <c r="AG57" s="37"/>
    </row>
    <row r="58">
      <c r="A58" s="83" t="s">
        <v>165</v>
      </c>
      <c r="B58" s="100" t="s">
        <v>166</v>
      </c>
      <c r="C58" s="56" t="str">
        <f>VLOOKUP(A58, 'PGY4'!$A$3:$AA$20, 17, FALSE)</f>
        <v>ED</v>
      </c>
      <c r="D58" s="47" t="str">
        <f>concatenate(vlookup(A58,'PGY4'!$A$3:$AA$20, 18, false), " / ", vlookup(A58,'PGY4'!$A$3:$AA$20, 19, false))</f>
        <v>ED / ED</v>
      </c>
      <c r="E58" s="56" t="str">
        <f>VLOOKUP(A58, 'PGY4'!$A$3:$AA$20, 20, FALSE)</f>
        <v>BKN</v>
      </c>
      <c r="F58" s="101" t="s">
        <v>154</v>
      </c>
      <c r="G58" s="60"/>
      <c r="H58" s="101" t="s">
        <v>154</v>
      </c>
      <c r="I58" s="108" t="s">
        <v>129</v>
      </c>
      <c r="J58" s="90" t="s">
        <v>110</v>
      </c>
      <c r="K58" s="74"/>
      <c r="L58" s="74"/>
      <c r="M58" s="106" t="s">
        <v>120</v>
      </c>
      <c r="N58" s="101" t="s">
        <v>149</v>
      </c>
      <c r="O58" s="78"/>
      <c r="P58" s="103" t="s">
        <v>109</v>
      </c>
      <c r="Q58" s="113" t="s">
        <v>156</v>
      </c>
      <c r="R58" s="74" t="s">
        <v>155</v>
      </c>
      <c r="S58" s="65"/>
      <c r="T58" s="79" t="s">
        <v>107</v>
      </c>
      <c r="U58" s="117" t="s">
        <v>150</v>
      </c>
      <c r="V58" s="36" t="s">
        <v>149</v>
      </c>
      <c r="W58" s="92"/>
      <c r="X58" s="106" t="s">
        <v>120</v>
      </c>
      <c r="Y58" s="74"/>
      <c r="Z58" s="74"/>
      <c r="AA58" s="92" t="s">
        <v>150</v>
      </c>
      <c r="AC58" s="36"/>
      <c r="AD58" s="92" t="s">
        <v>149</v>
      </c>
      <c r="AE58" s="92" t="s">
        <v>149</v>
      </c>
      <c r="AF58" s="37" t="s">
        <v>129</v>
      </c>
      <c r="AG58" s="37" t="s">
        <v>121</v>
      </c>
    </row>
    <row r="59">
      <c r="A59" s="118" t="s">
        <v>167</v>
      </c>
      <c r="B59" s="100" t="s">
        <v>168</v>
      </c>
      <c r="C59" s="56" t="str">
        <f>VLOOKUP(A59, 'PGY4'!$A$3:$AA$20, 17, FALSE)</f>
        <v>Elec</v>
      </c>
      <c r="D59" s="47" t="str">
        <f>concatenate(vlookup(A59,'PGY4'!$A$3:$AA$20, 18, false), " / ", vlookup(A59,'PGY4'!$A$3:$AA$20, 19, false))</f>
        <v>ED / ED</v>
      </c>
      <c r="E59" s="56" t="str">
        <f>VLOOKUP(A59, 'PGY4'!$A$3:$AA$20, 20, FALSE)</f>
        <v>ED</v>
      </c>
      <c r="F59" s="105" t="s">
        <v>150</v>
      </c>
      <c r="G59" s="112" t="s">
        <v>128</v>
      </c>
      <c r="H59" s="101" t="s">
        <v>149</v>
      </c>
      <c r="I59" s="116" t="s">
        <v>117</v>
      </c>
      <c r="J59" s="66" t="s">
        <v>23</v>
      </c>
      <c r="K59" s="74"/>
      <c r="L59" s="74"/>
      <c r="M59" s="60"/>
      <c r="N59" s="60"/>
      <c r="O59" s="78"/>
      <c r="P59" s="106" t="s">
        <v>120</v>
      </c>
      <c r="Q59" s="114" t="s">
        <v>150</v>
      </c>
      <c r="R59" s="88" t="s">
        <v>121</v>
      </c>
      <c r="S59" s="65"/>
      <c r="T59" s="92"/>
      <c r="U59" s="92" t="s">
        <v>120</v>
      </c>
      <c r="V59" s="36" t="s">
        <v>151</v>
      </c>
      <c r="W59" s="92" t="s">
        <v>128</v>
      </c>
      <c r="X59" s="116" t="s">
        <v>105</v>
      </c>
      <c r="Y59" s="74"/>
      <c r="Z59" s="74"/>
      <c r="AA59" s="92" t="s">
        <v>128</v>
      </c>
      <c r="AB59" s="92" t="s">
        <v>129</v>
      </c>
      <c r="AC59" s="36"/>
      <c r="AD59" s="92" t="s">
        <v>156</v>
      </c>
      <c r="AE59" s="92" t="s">
        <v>156</v>
      </c>
      <c r="AF59" s="37" t="s">
        <v>156</v>
      </c>
      <c r="AG59" s="37" t="s">
        <v>156</v>
      </c>
    </row>
    <row r="60">
      <c r="A60" s="38" t="s">
        <v>169</v>
      </c>
      <c r="B60" s="100" t="s">
        <v>170</v>
      </c>
      <c r="C60" s="56" t="str">
        <f>VLOOKUP(A60, 'PGY4'!$A$3:$AA$20, 17, FALSE)</f>
        <v>ED</v>
      </c>
      <c r="D60" s="47" t="str">
        <f>concatenate(vlookup(A60,'PGY4'!$A$3:$AA$20, 18, false), " / ", vlookup(A60,'PGY4'!$A$3:$AA$20, 19, false))</f>
        <v>ED / ED</v>
      </c>
      <c r="E60" s="56" t="str">
        <f>VLOOKUP(A60, 'PGY4'!$A$3:$AA$20, 20, FALSE)</f>
        <v>BKN</v>
      </c>
      <c r="F60" s="90" t="s">
        <v>116</v>
      </c>
      <c r="G60" s="103" t="s">
        <v>109</v>
      </c>
      <c r="H60" s="113" t="s">
        <v>156</v>
      </c>
      <c r="I60" s="113" t="s">
        <v>156</v>
      </c>
      <c r="J60" s="60"/>
      <c r="K60" s="74"/>
      <c r="L60" s="86"/>
      <c r="M60" s="60"/>
      <c r="N60" s="102" t="s">
        <v>120</v>
      </c>
      <c r="O60" s="78"/>
      <c r="P60" s="90" t="s">
        <v>110</v>
      </c>
      <c r="Q60" s="106" t="s">
        <v>120</v>
      </c>
      <c r="R60" s="104" t="s">
        <v>150</v>
      </c>
      <c r="S60" s="119" t="s">
        <v>149</v>
      </c>
      <c r="T60" s="44" t="s">
        <v>128</v>
      </c>
      <c r="U60" s="92" t="s">
        <v>129</v>
      </c>
      <c r="V60" s="36"/>
      <c r="W60" s="117" t="s">
        <v>150</v>
      </c>
      <c r="X60" s="60"/>
      <c r="Y60" s="74"/>
      <c r="Z60" s="74"/>
      <c r="AA60" s="92" t="s">
        <v>154</v>
      </c>
      <c r="AB60" s="92" t="s">
        <v>116</v>
      </c>
      <c r="AC60" s="36"/>
      <c r="AD60" s="92" t="s">
        <v>128</v>
      </c>
      <c r="AE60" s="92" t="s">
        <v>110</v>
      </c>
      <c r="AF60" s="37" t="s">
        <v>121</v>
      </c>
      <c r="AG60" s="37" t="s">
        <v>149</v>
      </c>
    </row>
    <row r="61">
      <c r="A61" s="38" t="s">
        <v>171</v>
      </c>
      <c r="B61" s="100" t="s">
        <v>172</v>
      </c>
      <c r="C61" s="56" t="str">
        <f>VLOOKUP(A61, 'PGY4'!$A$3:$AA$20, 17, FALSE)</f>
        <v>Elec</v>
      </c>
      <c r="D61" s="47" t="str">
        <f>concatenate(vlookup(A61,'PGY4'!$A$3:$AA$20, 18, false), " / ", vlookup(A61,'PGY4'!$A$3:$AA$20, 19, false))</f>
        <v>ED / ED</v>
      </c>
      <c r="E61" s="56" t="str">
        <f>VLOOKUP(A61, 'PGY4'!$A$3:$AA$20, 20, FALSE)</f>
        <v>ED</v>
      </c>
      <c r="F61" s="90" t="s">
        <v>117</v>
      </c>
      <c r="G61" s="90" t="s">
        <v>117</v>
      </c>
      <c r="H61" s="78"/>
      <c r="I61" s="101" t="s">
        <v>154</v>
      </c>
      <c r="J61" s="89" t="s">
        <v>128</v>
      </c>
      <c r="K61" s="74"/>
      <c r="L61" s="74"/>
      <c r="M61" s="44" t="s">
        <v>110</v>
      </c>
      <c r="N61" s="44" t="s">
        <v>117</v>
      </c>
      <c r="O61" s="78"/>
      <c r="P61" s="60"/>
      <c r="Q61" s="90" t="s">
        <v>116</v>
      </c>
      <c r="R61" s="68" t="s">
        <v>115</v>
      </c>
      <c r="S61" s="85" t="s">
        <v>150</v>
      </c>
      <c r="T61" s="92" t="s">
        <v>120</v>
      </c>
      <c r="V61" s="36" t="s">
        <v>154</v>
      </c>
      <c r="W61" s="101" t="s">
        <v>154</v>
      </c>
      <c r="X61" s="60"/>
      <c r="Y61" s="74"/>
      <c r="Z61" s="74"/>
      <c r="AA61" s="92" t="s">
        <v>120</v>
      </c>
      <c r="AB61" s="92" t="s">
        <v>128</v>
      </c>
      <c r="AC61" s="36"/>
      <c r="AD61" s="44" t="s">
        <v>121</v>
      </c>
      <c r="AE61" s="92" t="s">
        <v>129</v>
      </c>
      <c r="AF61" s="37" t="s">
        <v>150</v>
      </c>
      <c r="AG61" s="37" t="s">
        <v>150</v>
      </c>
    </row>
    <row r="62">
      <c r="A62" s="38" t="s">
        <v>173</v>
      </c>
      <c r="B62" s="100" t="s">
        <v>174</v>
      </c>
      <c r="C62" s="56" t="str">
        <f>VLOOKUP(A62, 'PGY4'!$A$3:$AA$20, 17, FALSE)</f>
        <v>Elec</v>
      </c>
      <c r="D62" s="47" t="str">
        <f>concatenate(vlookup(A62,'PGY4'!$A$3:$AA$20, 18, false), " / ", vlookup(A62,'PGY4'!$A$3:$AA$20, 19, false))</f>
        <v>ED / BKN</v>
      </c>
      <c r="E62" s="56" t="str">
        <f>VLOOKUP(A62, 'PGY4'!$A$3:$AA$20, 20, FALSE)</f>
        <v>V</v>
      </c>
      <c r="F62" s="60"/>
      <c r="G62" s="90" t="s">
        <v>110</v>
      </c>
      <c r="H62" s="78"/>
      <c r="I62" s="108" t="s">
        <v>151</v>
      </c>
      <c r="J62" s="108" t="s">
        <v>129</v>
      </c>
      <c r="K62" s="68" t="s">
        <v>149</v>
      </c>
      <c r="L62" s="68" t="s">
        <v>115</v>
      </c>
      <c r="M62" s="108" t="s">
        <v>129</v>
      </c>
      <c r="N62" s="60"/>
      <c r="O62" s="91" t="s">
        <v>128</v>
      </c>
      <c r="P62" s="101" t="s">
        <v>149</v>
      </c>
      <c r="Q62" s="101" t="s">
        <v>154</v>
      </c>
      <c r="R62" s="74"/>
      <c r="S62" s="74"/>
      <c r="T62" s="92" t="s">
        <v>156</v>
      </c>
      <c r="U62" s="92" t="s">
        <v>156</v>
      </c>
      <c r="V62" s="36" t="s">
        <v>156</v>
      </c>
      <c r="W62" s="113" t="s">
        <v>156</v>
      </c>
      <c r="X62" s="60"/>
      <c r="Y62" s="68" t="s">
        <v>149</v>
      </c>
      <c r="Z62" s="68" t="s">
        <v>149</v>
      </c>
      <c r="AA62" s="92" t="s">
        <v>129</v>
      </c>
      <c r="AB62" s="92"/>
      <c r="AD62" s="92" t="s">
        <v>120</v>
      </c>
      <c r="AE62" s="117" t="s">
        <v>150</v>
      </c>
      <c r="AF62" s="37"/>
      <c r="AG62" s="37"/>
    </row>
    <row r="63">
      <c r="A63" s="83" t="s">
        <v>175</v>
      </c>
      <c r="B63" s="100" t="s">
        <v>176</v>
      </c>
      <c r="C63" s="56" t="str">
        <f>VLOOKUP(A63, 'PGY4'!$A$3:$AA$20, 17, FALSE)</f>
        <v>Elec</v>
      </c>
      <c r="D63" s="47" t="str">
        <f>concatenate(vlookup(A63,'PGY4'!$A$3:$AA$20, 18, false), " / ", vlookup(A63,'PGY4'!$A$3:$AA$20, 19, false))</f>
        <v>ED / ED</v>
      </c>
      <c r="E63" s="56" t="str">
        <f>VLOOKUP(A63, 'PGY4'!$A$3:$AA$20, 20, FALSE)</f>
        <v>BKN</v>
      </c>
      <c r="F63" s="106" t="s">
        <v>120</v>
      </c>
      <c r="G63" s="105" t="s">
        <v>150</v>
      </c>
      <c r="H63" s="78"/>
      <c r="I63" s="60"/>
      <c r="J63" s="101" t="s">
        <v>149</v>
      </c>
      <c r="K63" s="74"/>
      <c r="L63" s="74"/>
      <c r="M63" s="113" t="s">
        <v>156</v>
      </c>
      <c r="N63" s="103" t="s">
        <v>109</v>
      </c>
      <c r="O63" s="73" t="s">
        <v>109</v>
      </c>
      <c r="P63" s="90" t="s">
        <v>155</v>
      </c>
      <c r="Q63" s="103" t="s">
        <v>109</v>
      </c>
      <c r="R63" s="73" t="s">
        <v>109</v>
      </c>
      <c r="S63" s="67" t="s">
        <v>156</v>
      </c>
      <c r="T63" s="92"/>
      <c r="U63" s="92" t="s">
        <v>177</v>
      </c>
      <c r="V63" s="36"/>
      <c r="X63" s="101" t="s">
        <v>149</v>
      </c>
      <c r="Y63" s="74"/>
      <c r="Z63" s="74"/>
      <c r="AA63" s="92" t="s">
        <v>149</v>
      </c>
      <c r="AB63" s="92"/>
      <c r="AC63" s="36" t="s">
        <v>109</v>
      </c>
      <c r="AD63" s="92" t="s">
        <v>109</v>
      </c>
      <c r="AF63" s="37" t="s">
        <v>149</v>
      </c>
      <c r="AG63" s="37" t="s">
        <v>115</v>
      </c>
    </row>
    <row r="64">
      <c r="A64" s="38" t="s">
        <v>178</v>
      </c>
      <c r="B64" s="100" t="s">
        <v>179</v>
      </c>
      <c r="C64" s="56" t="str">
        <f>VLOOKUP(A64, 'PGY4'!$A$3:$AA$20, 17, FALSE)</f>
        <v>BKN</v>
      </c>
      <c r="D64" s="47" t="str">
        <f>concatenate(vlookup(A64,'PGY4'!$A$3:$AA$20, 18, false), " / ", vlookup(A64,'PGY4'!$A$3:$AA$20, 19, false))</f>
        <v>ED / ED</v>
      </c>
      <c r="E64" s="56" t="str">
        <f>VLOOKUP(A64, 'PGY4'!$A$3:$AA$20, 20, FALSE)</f>
        <v>Elec</v>
      </c>
      <c r="F64" s="60"/>
      <c r="G64" s="90" t="s">
        <v>116</v>
      </c>
      <c r="H64" s="78"/>
      <c r="I64" s="101" t="s">
        <v>149</v>
      </c>
      <c r="J64" s="101" t="s">
        <v>154</v>
      </c>
      <c r="K64" s="74"/>
      <c r="L64" s="74"/>
      <c r="M64" s="103" t="s">
        <v>109</v>
      </c>
      <c r="N64" s="113" t="s">
        <v>156</v>
      </c>
      <c r="O64" s="67" t="s">
        <v>156</v>
      </c>
      <c r="P64" s="113" t="s">
        <v>156</v>
      </c>
      <c r="Q64" s="60"/>
      <c r="R64" s="88" t="s">
        <v>129</v>
      </c>
      <c r="S64" s="68" t="s">
        <v>115</v>
      </c>
      <c r="T64" s="92" t="s">
        <v>149</v>
      </c>
      <c r="U64" s="92" t="s">
        <v>128</v>
      </c>
      <c r="V64" s="36"/>
      <c r="W64" s="115" t="s">
        <v>120</v>
      </c>
      <c r="X64" s="60"/>
      <c r="Y64" s="104" t="s">
        <v>150</v>
      </c>
      <c r="Z64" s="104" t="s">
        <v>150</v>
      </c>
      <c r="AA64" s="92" t="s">
        <v>116</v>
      </c>
      <c r="AB64" s="92"/>
      <c r="AC64" s="36" t="s">
        <v>128</v>
      </c>
      <c r="AD64" s="92" t="s">
        <v>150</v>
      </c>
      <c r="AE64" s="92" t="s">
        <v>120</v>
      </c>
      <c r="AF64" s="37"/>
      <c r="AG64" s="37"/>
    </row>
    <row r="65">
      <c r="A65" s="38" t="s">
        <v>180</v>
      </c>
      <c r="B65" s="100" t="s">
        <v>181</v>
      </c>
      <c r="C65" s="56" t="str">
        <f>VLOOKUP(A65, 'PGY4'!$A$3:$AA$20, 17, FALSE)</f>
        <v>Elec</v>
      </c>
      <c r="D65" s="47" t="str">
        <f>concatenate(vlookup(A65,'PGY4'!$A$3:$AA$20, 18, false), " / ", vlookup(A65,'PGY4'!$A$3:$AA$20, 19, false))</f>
        <v>Elec / ED</v>
      </c>
      <c r="E65" s="56" t="str">
        <f>VLOOKUP(A65, 'PGY4'!$A$3:$AA$20, 20, FALSE)</f>
        <v>ED</v>
      </c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92"/>
      <c r="U65" s="92" t="s">
        <v>149</v>
      </c>
      <c r="V65" s="111"/>
      <c r="W65" s="60"/>
      <c r="X65" s="114" t="s">
        <v>150</v>
      </c>
      <c r="Y65" s="74"/>
      <c r="Z65" s="74"/>
      <c r="AA65" s="92"/>
      <c r="AB65" s="92"/>
      <c r="AC65" s="36" t="s">
        <v>156</v>
      </c>
      <c r="AD65" s="92" t="s">
        <v>155</v>
      </c>
      <c r="AE65" s="92"/>
      <c r="AF65" s="37" t="s">
        <v>115</v>
      </c>
      <c r="AG65" s="37" t="s">
        <v>129</v>
      </c>
    </row>
    <row r="66">
      <c r="A66" s="118" t="s">
        <v>182</v>
      </c>
      <c r="B66" s="100" t="s">
        <v>183</v>
      </c>
      <c r="C66" s="56" t="str">
        <f>VLOOKUP(A66, 'PGY4'!$A$3:$AA$20, 17, FALSE)</f>
        <v>ED</v>
      </c>
      <c r="D66" s="47" t="str">
        <f>concatenate(vlookup(A66,'PGY4'!$A$3:$AA$20, 18, false), " / ", vlookup(A66,'PGY4'!$A$3:$AA$20, 19, false))</f>
        <v>V / ED</v>
      </c>
      <c r="E66" s="56" t="str">
        <f>VLOOKUP(A66, 'PGY4'!$A$3:$AA$20, 20, FALSE)</f>
        <v>BKN</v>
      </c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U66" s="92"/>
      <c r="V66" s="36"/>
      <c r="W66" s="116" t="s">
        <v>116</v>
      </c>
      <c r="X66" s="89" t="s">
        <v>128</v>
      </c>
      <c r="Y66" s="74"/>
      <c r="Z66" s="74"/>
      <c r="AA66" s="92" t="s">
        <v>106</v>
      </c>
      <c r="AB66" s="92" t="s">
        <v>184</v>
      </c>
      <c r="AC66" s="36" t="s">
        <v>115</v>
      </c>
      <c r="AD66" s="92" t="s">
        <v>129</v>
      </c>
      <c r="AE66" s="92" t="s">
        <v>155</v>
      </c>
      <c r="AF66" s="37" t="s">
        <v>108</v>
      </c>
      <c r="AG66" s="37" t="s">
        <v>108</v>
      </c>
    </row>
    <row r="67">
      <c r="A67" s="118" t="s">
        <v>185</v>
      </c>
      <c r="B67" s="100" t="s">
        <v>186</v>
      </c>
      <c r="C67" s="56" t="str">
        <f>VLOOKUP(A67, 'PGY4'!$A$3:$AA$20, 17, FALSE)</f>
        <v>ED</v>
      </c>
      <c r="D67" s="47" t="str">
        <f>concatenate(vlookup(A67,'PGY4'!$A$3:$AA$20, 18, false), " / ", vlookup(A67,'PGY4'!$A$3:$AA$20, 19, false))</f>
        <v>Elec / ED</v>
      </c>
      <c r="E67" s="56" t="str">
        <f>VLOOKUP(A67, 'PGY4'!$A$3:$AA$20, 20, FALSE)</f>
        <v>ED</v>
      </c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92" t="s">
        <v>110</v>
      </c>
      <c r="U67" s="92"/>
      <c r="V67" s="111"/>
      <c r="W67" s="102" t="s">
        <v>149</v>
      </c>
      <c r="X67" s="113" t="s">
        <v>156</v>
      </c>
      <c r="Y67" s="67" t="s">
        <v>156</v>
      </c>
      <c r="Z67" s="73" t="s">
        <v>109</v>
      </c>
      <c r="AA67" s="92"/>
      <c r="AB67" s="44" t="s">
        <v>120</v>
      </c>
      <c r="AC67" s="120"/>
      <c r="AE67" s="92"/>
      <c r="AF67" s="37"/>
      <c r="AG67" s="37"/>
    </row>
    <row r="68">
      <c r="A68" s="38" t="s">
        <v>187</v>
      </c>
      <c r="B68" s="100" t="s">
        <v>188</v>
      </c>
      <c r="C68" s="56" t="str">
        <f>VLOOKUP(A68, 'PGY4'!$A$3:$AA$20, 17, FALSE)</f>
        <v>ED</v>
      </c>
      <c r="D68" s="47" t="str">
        <f>concatenate(vlookup(A68,'PGY4'!$A$3:$AA$20, 18, false), " / ", vlookup(A68,'PGY4'!$A$3:$AA$20, 19, false))</f>
        <v>Elec / ED</v>
      </c>
      <c r="E68" s="56" t="str">
        <f>VLOOKUP(A68, 'PGY4'!$A$3:$AA$20, 20, FALSE)</f>
        <v>Elec</v>
      </c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92"/>
      <c r="U68" s="79" t="s">
        <v>107</v>
      </c>
      <c r="V68" s="36" t="s">
        <v>128</v>
      </c>
      <c r="W68" s="112" t="s">
        <v>129</v>
      </c>
      <c r="X68" s="103" t="s">
        <v>109</v>
      </c>
      <c r="Y68" s="73" t="s">
        <v>109</v>
      </c>
      <c r="Z68" s="67" t="s">
        <v>156</v>
      </c>
      <c r="AA68" s="92"/>
      <c r="AB68" s="92" t="s">
        <v>149</v>
      </c>
      <c r="AC68" s="36" t="s">
        <v>149</v>
      </c>
      <c r="AD68" s="92" t="s">
        <v>154</v>
      </c>
      <c r="AE68" s="92"/>
      <c r="AF68" s="37"/>
      <c r="AG68" s="37"/>
    </row>
    <row r="69">
      <c r="A69" s="76" t="s">
        <v>189</v>
      </c>
      <c r="B69" s="100"/>
      <c r="C69" s="55" t="s">
        <v>114</v>
      </c>
      <c r="D69" s="77" t="s">
        <v>190</v>
      </c>
      <c r="E69" s="55" t="s">
        <v>114</v>
      </c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17" t="s">
        <v>150</v>
      </c>
      <c r="U69" s="92" t="s">
        <v>134</v>
      </c>
      <c r="V69" s="111"/>
      <c r="W69" s="60"/>
      <c r="X69" s="108" t="s">
        <v>129</v>
      </c>
      <c r="Y69" s="74" t="s">
        <v>117</v>
      </c>
      <c r="Z69" s="74" t="s">
        <v>117</v>
      </c>
      <c r="AA69" s="92" t="s">
        <v>156</v>
      </c>
      <c r="AB69" s="92" t="s">
        <v>156</v>
      </c>
      <c r="AC69" s="120"/>
      <c r="AE69" s="92"/>
      <c r="AF69" s="37"/>
      <c r="AG69" s="37"/>
    </row>
    <row r="70">
      <c r="A70" s="96" t="s">
        <v>191</v>
      </c>
      <c r="B70" s="24" t="s">
        <v>11</v>
      </c>
      <c r="C70" s="25" t="s">
        <v>12</v>
      </c>
      <c r="D70" s="25" t="s">
        <v>13</v>
      </c>
      <c r="E70" s="25" t="s">
        <v>14</v>
      </c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</row>
    <row r="71">
      <c r="A71" s="44" t="s">
        <v>66</v>
      </c>
      <c r="B71" s="55" t="s">
        <v>67</v>
      </c>
      <c r="C71" s="122" t="str">
        <f>VLOOKUP(A71, 'PGY1'!$A$3:$AA$20, 17, FALSE)</f>
        <v>TH</v>
      </c>
      <c r="D71" s="47" t="str">
        <f>concatenate(vlookup(A71,'PGY1'!$A$3:$AA$20, 18, false), " / ", vlookup(A71,'PGY1'!$A$3:$AA$20, 19, false))</f>
        <v>PSY / BH</v>
      </c>
      <c r="E71" s="122" t="str">
        <f>VLOOKUP(A71, 'PGY1'!$A$3:$AA$20, 20, FALSE)</f>
        <v>TH</v>
      </c>
      <c r="F71" s="123"/>
      <c r="G71" s="123"/>
      <c r="H71" s="124"/>
      <c r="I71" s="123"/>
      <c r="J71" s="123"/>
      <c r="K71" s="37"/>
      <c r="L71" s="37"/>
      <c r="M71" s="123"/>
      <c r="N71" s="123"/>
      <c r="O71" s="36"/>
      <c r="P71" s="123"/>
      <c r="Q71" s="123"/>
      <c r="R71" s="37" t="s">
        <v>54</v>
      </c>
      <c r="S71" s="37" t="s">
        <v>60</v>
      </c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</row>
    <row r="72">
      <c r="A72" s="44" t="s">
        <v>192</v>
      </c>
      <c r="B72" s="55" t="s">
        <v>193</v>
      </c>
      <c r="C72" s="122" t="str">
        <f>VLOOKUP(A72, 'PGY1'!$A$3:$AA$20, 17, FALSE)</f>
        <v>TH</v>
      </c>
      <c r="D72" s="47" t="str">
        <f>concatenate(vlookup(A72,'PGY1'!$A$3:$AA$20, 18, false), " / ", vlookup(A72,'PGY1'!$A$3:$AA$20, 19, false))</f>
        <v>AnUS / PSY</v>
      </c>
      <c r="E72" s="122" t="str">
        <f>VLOOKUP(A72, 'PGY1'!$A$3:$AA$20, 20, FALSE)</f>
        <v>M</v>
      </c>
      <c r="F72" s="123"/>
      <c r="G72" s="123"/>
      <c r="H72" s="124"/>
      <c r="I72" s="123"/>
      <c r="J72" s="123"/>
      <c r="K72" s="37"/>
      <c r="L72" s="37" t="s">
        <v>28</v>
      </c>
      <c r="M72" s="123"/>
      <c r="N72" s="123"/>
      <c r="O72" s="36"/>
      <c r="P72" s="123"/>
      <c r="Q72" s="123"/>
      <c r="R72" s="37" t="s">
        <v>60</v>
      </c>
      <c r="S72" s="37"/>
      <c r="T72" s="123"/>
      <c r="U72" s="123"/>
      <c r="V72" s="36"/>
      <c r="W72" s="123"/>
      <c r="X72" s="123"/>
      <c r="Y72" s="37"/>
      <c r="Z72" s="37"/>
      <c r="AA72" s="123"/>
      <c r="AB72" s="123"/>
      <c r="AC72" s="36"/>
      <c r="AD72" s="123"/>
      <c r="AE72" s="123"/>
      <c r="AF72" s="37" t="s">
        <v>60</v>
      </c>
      <c r="AG72" s="37" t="s">
        <v>60</v>
      </c>
    </row>
    <row r="73">
      <c r="A73" s="44" t="s">
        <v>194</v>
      </c>
      <c r="B73" s="55" t="s">
        <v>195</v>
      </c>
      <c r="C73" s="122" t="str">
        <f>VLOOKUP(A73, 'PGY1'!$A$3:$AA$20, 17, FALSE)</f>
        <v>MICU</v>
      </c>
      <c r="D73" s="47" t="str">
        <f>concatenate(vlookup(A73,'PGY1'!$A$3:$AA$20, 18, false), " / ", vlookup(A73,'PGY1'!$A$3:$AA$20, 19, false))</f>
        <v>NICU / AnUS</v>
      </c>
      <c r="E73" s="122" t="str">
        <f>VLOOKUP(A73, 'PGY1'!$A$3:$AA$20, 20, FALSE)</f>
        <v>TH</v>
      </c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3"/>
      <c r="U73" s="123"/>
      <c r="V73" s="36"/>
      <c r="W73" s="123"/>
      <c r="X73" s="123"/>
      <c r="Y73" s="37" t="s">
        <v>54</v>
      </c>
      <c r="Z73" s="37" t="s">
        <v>26</v>
      </c>
      <c r="AA73" s="123"/>
      <c r="AB73" s="123"/>
      <c r="AC73" s="36"/>
      <c r="AD73" s="123"/>
      <c r="AE73" s="123"/>
      <c r="AF73" s="126"/>
      <c r="AG73" s="37"/>
    </row>
    <row r="74">
      <c r="A74" s="54" t="s">
        <v>78</v>
      </c>
      <c r="B74" s="55" t="s">
        <v>79</v>
      </c>
      <c r="C74" s="122" t="str">
        <f>VLOOKUP(A74, 'PGY2'!$A$3:$AA$20, 17, FALSE)</f>
        <v>Ortho</v>
      </c>
      <c r="D74" s="47" t="str">
        <f>concatenate(vlookup(A74,'PGY2'!$A$3:$AA$20, 18, false), " / ", vlookup(A74,'PGY2'!$A$3:$AA$20, 19, false))</f>
        <v>BH/TH / AnUS</v>
      </c>
      <c r="E74" s="122" t="str">
        <f>VLOOKUP(A74, 'PGY2'!$A$3:$AA$20, 20, FALSE)</f>
        <v>BH/TH</v>
      </c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3"/>
      <c r="U74" s="123"/>
      <c r="V74" s="36"/>
      <c r="W74" s="123"/>
      <c r="X74" s="123"/>
      <c r="Y74" s="37"/>
      <c r="Z74" s="37" t="s">
        <v>54</v>
      </c>
      <c r="AA74" s="123"/>
      <c r="AB74" s="123"/>
      <c r="AC74" s="36"/>
      <c r="AD74" s="123"/>
      <c r="AE74" s="123"/>
      <c r="AF74" s="37" t="s">
        <v>54</v>
      </c>
      <c r="AG74" s="37"/>
    </row>
    <row r="75">
      <c r="A75" s="127" t="s">
        <v>196</v>
      </c>
      <c r="B75" s="128" t="s">
        <v>197</v>
      </c>
      <c r="C75" s="129" t="str">
        <f>VLOOKUP(A75, 'PGY3'!$A$3:$AA$20, 17, FALSE)</f>
        <v>ED</v>
      </c>
      <c r="D75" s="130" t="str">
        <f>concatenate(vlookup(A75,'PGY3'!$A$3:$AA$20, 18, false), " / ", vlookup(A75,'PGY3'!$A$3:$AA$20, 19, false))</f>
        <v>Tox-SC / Tox-H</v>
      </c>
      <c r="E75" s="129" t="str">
        <f>VLOOKUP(A75, 'PGY3'!$A$3:$AA$20, 20, FALSE)</f>
        <v>V</v>
      </c>
      <c r="F75" s="131"/>
      <c r="G75" s="131"/>
      <c r="H75" s="132"/>
      <c r="I75" s="131"/>
      <c r="J75" s="131"/>
      <c r="K75" s="126"/>
      <c r="L75" s="126" t="s">
        <v>117</v>
      </c>
      <c r="M75" s="131"/>
      <c r="N75" s="131"/>
      <c r="O75" s="133"/>
      <c r="P75" s="131"/>
      <c r="Q75" s="131"/>
      <c r="R75" s="126"/>
      <c r="S75" s="126"/>
      <c r="T75" s="131"/>
      <c r="U75" s="131"/>
      <c r="V75" s="133"/>
      <c r="W75" s="131"/>
      <c r="X75" s="131"/>
      <c r="Y75" s="126"/>
      <c r="Z75" s="126"/>
      <c r="AA75" s="131"/>
      <c r="AB75" s="131"/>
      <c r="AC75" s="133"/>
      <c r="AD75" s="131"/>
      <c r="AE75" s="131"/>
      <c r="AF75" s="126"/>
      <c r="AG75" s="126"/>
    </row>
    <row r="76">
      <c r="A76" s="38" t="s">
        <v>198</v>
      </c>
      <c r="B76" s="55" t="s">
        <v>199</v>
      </c>
      <c r="C76" s="122" t="str">
        <f>VLOOKUP(A76, 'PGY3'!$A$3:$AA$20, 17, FALSE)</f>
        <v>PICU</v>
      </c>
      <c r="D76" s="47" t="str">
        <f>concatenate(vlookup(A76,'PGY3'!$A$3:$AA$20, 18, false), " / ", vlookup(A76,'PGY3'!$A$3:$AA$20, 19, false))</f>
        <v>Tox-H / Tox-SC</v>
      </c>
      <c r="E76" s="122" t="str">
        <f>VLOOKUP(A76, 'PGY3'!$A$3:$AA$20, 20, FALSE)</f>
        <v>ED</v>
      </c>
      <c r="F76" s="123"/>
      <c r="G76" s="123"/>
      <c r="H76" s="124"/>
      <c r="I76" s="123"/>
      <c r="J76" s="123"/>
      <c r="K76" s="37" t="s">
        <v>117</v>
      </c>
      <c r="L76" s="37"/>
      <c r="M76" s="123"/>
      <c r="N76" s="123"/>
      <c r="O76" s="36"/>
      <c r="P76" s="123"/>
      <c r="Q76" s="123"/>
      <c r="R76" s="37" t="s">
        <v>117</v>
      </c>
      <c r="S76" s="37"/>
      <c r="T76" s="123"/>
      <c r="U76" s="123"/>
      <c r="V76" s="36"/>
      <c r="W76" s="123"/>
      <c r="X76" s="123"/>
      <c r="Y76" s="37"/>
      <c r="Z76" s="37"/>
      <c r="AA76" s="123"/>
      <c r="AB76" s="123"/>
      <c r="AC76" s="36"/>
      <c r="AD76" s="123"/>
      <c r="AE76" s="123"/>
      <c r="AF76" s="37"/>
      <c r="AG76" s="37"/>
    </row>
    <row r="77">
      <c r="A77" s="83" t="s">
        <v>200</v>
      </c>
      <c r="B77" s="55" t="s">
        <v>201</v>
      </c>
      <c r="C77" s="122" t="str">
        <f>VLOOKUP(A77, 'PGY3'!$A$3:$AA$20, 17, FALSE)</f>
        <v>ED</v>
      </c>
      <c r="D77" s="47" t="str">
        <f>concatenate(vlookup(A77,'PGY3'!$A$3:$AA$20, 18, false), " / ", vlookup(A77,'PGY3'!$A$3:$AA$20, 19, false))</f>
        <v>PICU / Hand</v>
      </c>
      <c r="E77" s="122" t="str">
        <f>VLOOKUP(A77, 'PGY3'!$A$3:$AA$20, 20, FALSE)</f>
        <v>ED</v>
      </c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34"/>
      <c r="T77" s="123"/>
      <c r="U77" s="123"/>
      <c r="V77" s="36"/>
      <c r="W77" s="123"/>
      <c r="X77" s="123"/>
      <c r="Y77" s="37" t="s">
        <v>117</v>
      </c>
      <c r="Z77" s="37"/>
      <c r="AA77" s="123"/>
      <c r="AB77" s="123"/>
      <c r="AC77" s="36"/>
      <c r="AD77" s="123"/>
      <c r="AE77" s="123"/>
      <c r="AF77" s="37" t="s">
        <v>117</v>
      </c>
      <c r="AG77" s="37"/>
    </row>
    <row r="78">
      <c r="A78" s="135" t="s">
        <v>202</v>
      </c>
      <c r="B78" s="55"/>
      <c r="C78" s="122"/>
      <c r="D78" s="77" t="s">
        <v>203</v>
      </c>
      <c r="E78" s="122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6" t="s">
        <v>117</v>
      </c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</row>
    <row r="79">
      <c r="A79" s="3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>
      <c r="A80" s="30"/>
      <c r="B80" s="11"/>
      <c r="C80" s="11"/>
      <c r="D80" s="11"/>
      <c r="E80" s="11"/>
      <c r="F80" s="136" t="s">
        <v>204</v>
      </c>
      <c r="G80" s="137"/>
      <c r="H80" s="137"/>
      <c r="I80" s="137"/>
      <c r="J80" s="137"/>
      <c r="K80" s="137"/>
      <c r="L80" s="137"/>
      <c r="M80" s="137"/>
      <c r="N80" s="137"/>
      <c r="O80" s="138"/>
      <c r="P80" s="139" t="s">
        <v>205</v>
      </c>
      <c r="Q80" s="137"/>
      <c r="R80" s="137"/>
      <c r="S80" s="137"/>
      <c r="T80" s="137"/>
      <c r="U80" s="137"/>
      <c r="V80" s="137"/>
      <c r="W80" s="138"/>
      <c r="X80" s="136" t="s">
        <v>206</v>
      </c>
      <c r="Y80" s="137"/>
      <c r="Z80" s="137"/>
      <c r="AA80" s="137"/>
      <c r="AB80" s="137"/>
      <c r="AC80" s="137"/>
      <c r="AD80" s="137"/>
      <c r="AE80" s="138"/>
      <c r="AF80" s="11"/>
      <c r="AG80" s="11"/>
    </row>
    <row r="81">
      <c r="A81" s="30"/>
      <c r="B81" s="11"/>
      <c r="C81" s="11"/>
      <c r="D81" s="11"/>
      <c r="E81" s="11"/>
      <c r="F81" s="140" t="s">
        <v>207</v>
      </c>
      <c r="O81" s="141"/>
      <c r="P81" s="142" t="s">
        <v>207</v>
      </c>
      <c r="W81" s="141"/>
      <c r="X81" s="140" t="s">
        <v>207</v>
      </c>
      <c r="AE81" s="141"/>
      <c r="AF81" s="11"/>
      <c r="AG81" s="11"/>
    </row>
    <row r="82">
      <c r="A82" s="30"/>
      <c r="B82" s="11"/>
      <c r="C82" s="11"/>
      <c r="D82" s="11"/>
      <c r="E82" s="11"/>
      <c r="F82" s="143" t="s">
        <v>208</v>
      </c>
      <c r="O82" s="141"/>
      <c r="P82" s="144" t="s">
        <v>209</v>
      </c>
      <c r="W82" s="141"/>
      <c r="X82" s="145" t="s">
        <v>210</v>
      </c>
      <c r="AE82" s="141"/>
      <c r="AF82" s="11"/>
      <c r="AG82" s="11"/>
    </row>
    <row r="83">
      <c r="A83" s="11"/>
      <c r="B83" s="11"/>
      <c r="C83" s="11"/>
      <c r="D83" s="11"/>
      <c r="E83" s="11"/>
      <c r="F83" s="145" t="s">
        <v>211</v>
      </c>
      <c r="O83" s="141"/>
      <c r="P83" s="145" t="s">
        <v>212</v>
      </c>
      <c r="W83" s="141"/>
      <c r="X83" s="145" t="s">
        <v>213</v>
      </c>
      <c r="AE83" s="141"/>
      <c r="AF83" s="11"/>
      <c r="AG83" s="11"/>
    </row>
    <row r="84">
      <c r="A84" s="11"/>
      <c r="B84" s="11"/>
      <c r="C84" s="11"/>
      <c r="D84" s="11"/>
      <c r="E84" s="11"/>
      <c r="F84" s="146" t="s">
        <v>214</v>
      </c>
      <c r="O84" s="141"/>
      <c r="P84" s="146" t="s">
        <v>215</v>
      </c>
      <c r="W84" s="141"/>
      <c r="X84" s="147" t="s">
        <v>216</v>
      </c>
      <c r="AE84" s="141"/>
      <c r="AF84" s="30"/>
      <c r="AG84" s="30"/>
    </row>
    <row r="85">
      <c r="A85" s="11"/>
      <c r="B85" s="11"/>
      <c r="C85" s="11"/>
      <c r="D85" s="11"/>
      <c r="E85" s="11"/>
      <c r="F85" s="145" t="s">
        <v>217</v>
      </c>
      <c r="O85" s="141"/>
      <c r="P85" s="146" t="s">
        <v>218</v>
      </c>
      <c r="W85" s="141"/>
      <c r="X85" s="145" t="s">
        <v>219</v>
      </c>
      <c r="AE85" s="141"/>
      <c r="AF85" s="148"/>
      <c r="AG85" s="11"/>
    </row>
    <row r="86">
      <c r="A86" s="11"/>
      <c r="B86" s="11"/>
      <c r="C86" s="11"/>
      <c r="D86" s="11"/>
      <c r="E86" s="11"/>
      <c r="F86" s="145" t="s">
        <v>220</v>
      </c>
      <c r="O86" s="141"/>
      <c r="P86" s="110" t="s">
        <v>221</v>
      </c>
      <c r="Q86" s="110"/>
      <c r="R86" s="110"/>
      <c r="S86" s="110"/>
      <c r="T86" s="110"/>
      <c r="U86" s="110"/>
      <c r="V86" s="110"/>
      <c r="W86" s="110"/>
      <c r="X86" s="145" t="s">
        <v>222</v>
      </c>
      <c r="AE86" s="141"/>
      <c r="AF86" s="11"/>
      <c r="AG86" s="11"/>
    </row>
    <row r="87">
      <c r="A87" s="11"/>
      <c r="B87" s="11"/>
      <c r="C87" s="11"/>
      <c r="D87" s="11"/>
      <c r="E87" s="11"/>
      <c r="F87" s="145" t="s">
        <v>223</v>
      </c>
      <c r="O87" s="141"/>
      <c r="P87" s="110" t="s">
        <v>224</v>
      </c>
      <c r="Q87" s="110"/>
      <c r="R87" s="110"/>
      <c r="S87" s="110"/>
      <c r="T87" s="110"/>
      <c r="U87" s="110"/>
      <c r="V87" s="110"/>
      <c r="W87" s="110"/>
      <c r="X87" s="145" t="s">
        <v>225</v>
      </c>
      <c r="AE87" s="141"/>
      <c r="AF87" s="11"/>
      <c r="AG87" s="11"/>
    </row>
    <row r="88">
      <c r="A88" s="11"/>
      <c r="B88" s="11"/>
      <c r="C88" s="11"/>
      <c r="D88" s="11"/>
      <c r="E88" s="11"/>
      <c r="F88" s="145" t="s">
        <v>226</v>
      </c>
      <c r="O88" s="141"/>
      <c r="P88" s="145" t="s">
        <v>227</v>
      </c>
      <c r="W88" s="141"/>
      <c r="X88" s="145" t="s">
        <v>228</v>
      </c>
      <c r="AE88" s="141"/>
      <c r="AF88" s="11"/>
      <c r="AG88" s="11"/>
    </row>
    <row r="89">
      <c r="A89" s="11"/>
      <c r="B89" s="11"/>
      <c r="C89" s="11"/>
      <c r="D89" s="11"/>
      <c r="E89" s="11"/>
      <c r="F89" s="149" t="s">
        <v>229</v>
      </c>
      <c r="O89" s="141"/>
      <c r="P89" s="149" t="s">
        <v>230</v>
      </c>
      <c r="W89" s="141"/>
      <c r="X89" s="110" t="s">
        <v>231</v>
      </c>
      <c r="Y89" s="110"/>
      <c r="Z89" s="110"/>
      <c r="AA89" s="110"/>
      <c r="AB89" s="110"/>
      <c r="AC89" s="110"/>
      <c r="AD89" s="110"/>
      <c r="AE89" s="110"/>
      <c r="AF89" s="11"/>
      <c r="AG89" s="11"/>
    </row>
    <row r="90">
      <c r="A90" s="11"/>
      <c r="B90" s="11"/>
      <c r="C90" s="11"/>
      <c r="D90" s="11"/>
      <c r="E90" s="11"/>
      <c r="F90" s="145" t="s">
        <v>232</v>
      </c>
      <c r="O90" s="141"/>
      <c r="P90" s="145" t="s">
        <v>233</v>
      </c>
      <c r="W90" s="141"/>
      <c r="X90" s="150" t="s">
        <v>234</v>
      </c>
      <c r="AE90" s="141"/>
      <c r="AF90" s="11"/>
      <c r="AG90" s="11"/>
    </row>
    <row r="91">
      <c r="A91" s="11"/>
      <c r="B91" s="11"/>
      <c r="C91" s="11"/>
      <c r="D91" s="11"/>
      <c r="E91" s="11"/>
      <c r="F91" s="145" t="s">
        <v>235</v>
      </c>
      <c r="O91" s="141"/>
      <c r="P91" s="145" t="s">
        <v>236</v>
      </c>
      <c r="W91" s="141"/>
      <c r="X91" s="60" t="s">
        <v>237</v>
      </c>
      <c r="AE91" s="141"/>
      <c r="AF91" s="11"/>
      <c r="AG91" s="11"/>
    </row>
    <row r="92">
      <c r="A92" s="11"/>
      <c r="B92" s="11"/>
      <c r="C92" s="11"/>
      <c r="D92" s="11"/>
      <c r="E92" s="11"/>
      <c r="F92" s="145" t="s">
        <v>238</v>
      </c>
      <c r="O92" s="141"/>
      <c r="P92" s="145" t="s">
        <v>239</v>
      </c>
      <c r="W92" s="141"/>
      <c r="X92" s="60" t="s">
        <v>240</v>
      </c>
      <c r="AE92" s="141"/>
      <c r="AF92" s="11"/>
      <c r="AG92" s="11"/>
    </row>
    <row r="93">
      <c r="A93" s="11"/>
      <c r="B93" s="11"/>
      <c r="C93" s="11"/>
      <c r="D93" s="11"/>
      <c r="E93" s="11"/>
      <c r="F93" s="145" t="s">
        <v>241</v>
      </c>
      <c r="O93" s="141"/>
      <c r="P93" s="151" t="s">
        <v>234</v>
      </c>
      <c r="W93" s="141"/>
      <c r="X93" s="60" t="s">
        <v>242</v>
      </c>
      <c r="AE93" s="141"/>
      <c r="AF93" s="11"/>
      <c r="AG93" s="11"/>
    </row>
    <row r="94">
      <c r="A94" s="11"/>
      <c r="B94" s="11"/>
      <c r="C94" s="11"/>
      <c r="D94" s="11"/>
      <c r="E94" s="11"/>
      <c r="F94" s="145" t="s">
        <v>243</v>
      </c>
      <c r="O94" s="141"/>
      <c r="P94" s="60" t="s">
        <v>244</v>
      </c>
      <c r="W94" s="141"/>
      <c r="X94" s="60" t="s">
        <v>245</v>
      </c>
      <c r="AE94" s="141"/>
      <c r="AF94" s="11"/>
      <c r="AG94" s="11"/>
    </row>
    <row r="95">
      <c r="A95" s="11"/>
      <c r="B95" s="11"/>
      <c r="C95" s="11"/>
      <c r="D95" s="11"/>
      <c r="E95" s="11"/>
      <c r="F95" s="145" t="s">
        <v>246</v>
      </c>
      <c r="O95" s="141"/>
      <c r="P95" s="60" t="s">
        <v>247</v>
      </c>
      <c r="W95" s="141"/>
      <c r="X95" s="110" t="s">
        <v>248</v>
      </c>
      <c r="AE95" s="141"/>
      <c r="AF95" s="11"/>
      <c r="AG95" s="11"/>
    </row>
    <row r="96">
      <c r="A96" s="11"/>
      <c r="B96" s="11"/>
      <c r="C96" s="11"/>
      <c r="D96" s="11"/>
      <c r="E96" s="11"/>
      <c r="F96" s="145" t="s">
        <v>249</v>
      </c>
      <c r="O96" s="141"/>
      <c r="P96" s="60" t="s">
        <v>250</v>
      </c>
      <c r="W96" s="141"/>
      <c r="X96" s="145" t="s">
        <v>251</v>
      </c>
      <c r="AE96" s="141"/>
      <c r="AF96" s="11"/>
      <c r="AG96" s="11"/>
    </row>
    <row r="97">
      <c r="A97" s="11"/>
      <c r="B97" s="11"/>
      <c r="C97" s="11"/>
      <c r="D97" s="11"/>
      <c r="E97" s="11"/>
      <c r="F97" s="145" t="s">
        <v>252</v>
      </c>
      <c r="O97" s="141"/>
      <c r="P97" s="60" t="s">
        <v>253</v>
      </c>
      <c r="W97" s="141"/>
      <c r="X97" s="146" t="s">
        <v>254</v>
      </c>
      <c r="AE97" s="141"/>
      <c r="AF97" s="11"/>
      <c r="AG97" s="11"/>
    </row>
    <row r="98">
      <c r="A98" s="11"/>
      <c r="B98" s="11"/>
      <c r="C98" s="11"/>
      <c r="D98" s="11"/>
      <c r="E98" s="11"/>
      <c r="F98" s="145" t="s">
        <v>255</v>
      </c>
      <c r="O98" s="141"/>
      <c r="P98" s="60" t="s">
        <v>256</v>
      </c>
      <c r="X98" s="145" t="s">
        <v>257</v>
      </c>
      <c r="AE98" s="141"/>
      <c r="AF98" s="11"/>
      <c r="AG98" s="11"/>
    </row>
    <row r="99">
      <c r="A99" s="11"/>
      <c r="B99" s="11"/>
      <c r="C99" s="11"/>
      <c r="D99" s="11"/>
      <c r="E99" s="11"/>
      <c r="F99" s="145" t="s">
        <v>258</v>
      </c>
      <c r="O99" s="141"/>
      <c r="P99" s="145" t="s">
        <v>251</v>
      </c>
      <c r="W99" s="141"/>
      <c r="X99" s="145" t="s">
        <v>259</v>
      </c>
      <c r="AE99" s="141"/>
      <c r="AF99" s="11"/>
      <c r="AG99" s="11"/>
    </row>
    <row r="100">
      <c r="A100" s="11"/>
      <c r="B100" s="11"/>
      <c r="C100" s="11"/>
      <c r="D100" s="11"/>
      <c r="E100" s="11"/>
      <c r="F100" s="145" t="s">
        <v>260</v>
      </c>
      <c r="O100" s="141"/>
      <c r="P100" s="145" t="s">
        <v>261</v>
      </c>
      <c r="W100" s="141"/>
      <c r="X100" s="152" t="s">
        <v>262</v>
      </c>
      <c r="AE100" s="141"/>
      <c r="AF100" s="11"/>
      <c r="AG100" s="11"/>
    </row>
    <row r="101">
      <c r="A101" s="11"/>
      <c r="B101" s="11"/>
      <c r="C101" s="11"/>
      <c r="D101" s="11"/>
      <c r="E101" s="11"/>
      <c r="F101" s="151" t="s">
        <v>234</v>
      </c>
      <c r="O101" s="141"/>
      <c r="P101" s="152" t="s">
        <v>263</v>
      </c>
      <c r="W101" s="141"/>
      <c r="X101" s="145" t="s">
        <v>264</v>
      </c>
      <c r="AE101" s="141"/>
      <c r="AF101" s="11"/>
      <c r="AG101" s="11"/>
    </row>
    <row r="102">
      <c r="A102" s="11"/>
      <c r="B102" s="11"/>
      <c r="C102" s="11"/>
      <c r="D102" s="11"/>
      <c r="E102" s="11"/>
      <c r="F102" s="153" t="s">
        <v>265</v>
      </c>
      <c r="O102" s="141"/>
      <c r="P102" s="145" t="s">
        <v>266</v>
      </c>
      <c r="W102" s="141"/>
      <c r="X102" s="110" t="s">
        <v>267</v>
      </c>
      <c r="AE102" s="141"/>
      <c r="AF102" s="11"/>
      <c r="AG102" s="11"/>
    </row>
    <row r="103">
      <c r="A103" s="11"/>
      <c r="B103" s="11"/>
      <c r="C103" s="11"/>
      <c r="D103" s="11"/>
      <c r="E103" s="11"/>
      <c r="F103" s="146" t="s">
        <v>268</v>
      </c>
      <c r="O103" s="141"/>
      <c r="P103" s="145" t="s">
        <v>269</v>
      </c>
      <c r="W103" s="141"/>
      <c r="X103" s="145" t="s">
        <v>270</v>
      </c>
      <c r="AE103" s="141"/>
      <c r="AF103" s="11"/>
      <c r="AG103" s="11"/>
    </row>
    <row r="104">
      <c r="A104" s="11"/>
      <c r="B104" s="11"/>
      <c r="C104" s="11"/>
      <c r="D104" s="11"/>
      <c r="E104" s="11"/>
      <c r="F104" s="146" t="s">
        <v>271</v>
      </c>
      <c r="O104" s="141"/>
      <c r="P104" s="145" t="s">
        <v>272</v>
      </c>
      <c r="W104" s="141"/>
      <c r="X104" s="145" t="s">
        <v>273</v>
      </c>
      <c r="AE104" s="141"/>
      <c r="AF104" s="11"/>
      <c r="AG104" s="11"/>
    </row>
    <row r="105">
      <c r="A105" s="11"/>
      <c r="B105" s="11"/>
      <c r="C105" s="11"/>
      <c r="D105" s="11"/>
      <c r="E105" s="11"/>
      <c r="F105" s="146" t="s">
        <v>274</v>
      </c>
      <c r="O105" s="141"/>
      <c r="P105" s="145" t="s">
        <v>275</v>
      </c>
      <c r="W105" s="141"/>
      <c r="X105" s="145" t="s">
        <v>276</v>
      </c>
      <c r="AE105" s="141"/>
      <c r="AF105" s="11"/>
      <c r="AG105" s="11"/>
    </row>
    <row r="106">
      <c r="A106" s="11"/>
      <c r="B106" s="11"/>
      <c r="C106" s="11"/>
      <c r="D106" s="11"/>
      <c r="E106" s="11"/>
      <c r="F106" s="146" t="s">
        <v>277</v>
      </c>
      <c r="O106" s="141"/>
      <c r="P106" s="145" t="s">
        <v>278</v>
      </c>
      <c r="W106" s="141"/>
      <c r="X106" s="146" t="s">
        <v>279</v>
      </c>
      <c r="AE106" s="141"/>
      <c r="AF106" s="11"/>
      <c r="AG106" s="11"/>
    </row>
    <row r="107">
      <c r="A107" s="11"/>
      <c r="B107" s="11"/>
      <c r="C107" s="11"/>
      <c r="D107" s="11"/>
      <c r="E107" s="11"/>
      <c r="F107" s="154" t="s">
        <v>280</v>
      </c>
      <c r="O107" s="141"/>
      <c r="P107" s="145" t="s">
        <v>281</v>
      </c>
      <c r="W107" s="141"/>
      <c r="X107" s="155" t="s">
        <v>282</v>
      </c>
      <c r="Y107" s="156"/>
      <c r="Z107" s="156"/>
      <c r="AA107" s="156"/>
      <c r="AB107" s="156"/>
      <c r="AC107" s="156"/>
      <c r="AD107" s="156"/>
      <c r="AE107" s="157"/>
      <c r="AF107" s="11"/>
      <c r="AG107" s="11"/>
    </row>
    <row r="108">
      <c r="A108" s="11"/>
      <c r="B108" s="11"/>
      <c r="C108" s="11"/>
      <c r="D108" s="11"/>
      <c r="E108" s="11"/>
      <c r="F108" s="146" t="s">
        <v>283</v>
      </c>
      <c r="O108" s="141"/>
      <c r="P108" s="158" t="s">
        <v>284</v>
      </c>
      <c r="W108" s="141"/>
      <c r="X108" s="145" t="s">
        <v>285</v>
      </c>
      <c r="AE108" s="141"/>
      <c r="AF108" s="11"/>
      <c r="AG108" s="11"/>
    </row>
    <row r="109">
      <c r="A109" s="11"/>
      <c r="B109" s="11"/>
      <c r="C109" s="11"/>
      <c r="D109" s="11"/>
      <c r="E109" s="11"/>
      <c r="F109" s="145" t="s">
        <v>286</v>
      </c>
      <c r="O109" s="141"/>
      <c r="P109" s="145" t="s">
        <v>287</v>
      </c>
      <c r="Q109" s="110"/>
      <c r="R109" s="110"/>
      <c r="S109" s="110"/>
      <c r="T109" s="110"/>
      <c r="U109" s="110"/>
      <c r="V109" s="110"/>
      <c r="W109" s="159"/>
      <c r="X109" s="145" t="s">
        <v>288</v>
      </c>
      <c r="AE109" s="141"/>
      <c r="AF109" s="11"/>
      <c r="AG109" s="11"/>
    </row>
    <row r="110">
      <c r="A110" s="11"/>
      <c r="B110" s="11"/>
      <c r="C110" s="11"/>
      <c r="D110" s="11"/>
      <c r="E110" s="11"/>
      <c r="F110" s="144" t="s">
        <v>230</v>
      </c>
      <c r="O110" s="141"/>
      <c r="P110" s="145" t="s">
        <v>289</v>
      </c>
      <c r="Q110" s="110"/>
      <c r="R110" s="110"/>
      <c r="S110" s="60"/>
      <c r="T110" s="110"/>
      <c r="U110" s="110"/>
      <c r="V110" s="110"/>
      <c r="W110" s="159"/>
      <c r="X110" s="145" t="s">
        <v>290</v>
      </c>
      <c r="AE110" s="141"/>
      <c r="AF110" s="11"/>
      <c r="AG110" s="11"/>
    </row>
    <row r="111">
      <c r="A111" s="11"/>
      <c r="B111" s="11"/>
      <c r="C111" s="11"/>
      <c r="D111" s="11"/>
      <c r="E111" s="11"/>
      <c r="F111" s="146" t="s">
        <v>291</v>
      </c>
      <c r="O111" s="141"/>
      <c r="P111" s="145" t="s">
        <v>292</v>
      </c>
      <c r="Q111" s="110"/>
      <c r="R111" s="110"/>
      <c r="S111" s="110"/>
      <c r="T111" s="110"/>
      <c r="U111" s="110"/>
      <c r="V111" s="110"/>
      <c r="W111" s="159"/>
      <c r="X111" s="160" t="s">
        <v>293</v>
      </c>
      <c r="AE111" s="141"/>
      <c r="AF111" s="11"/>
      <c r="AG111" s="11"/>
    </row>
    <row r="112">
      <c r="A112" s="11"/>
      <c r="B112" s="11"/>
      <c r="C112" s="11"/>
      <c r="D112" s="11"/>
      <c r="E112" s="11"/>
      <c r="F112" s="146" t="s">
        <v>294</v>
      </c>
      <c r="O112" s="141"/>
      <c r="P112" s="155" t="s">
        <v>295</v>
      </c>
      <c r="Q112" s="161"/>
      <c r="R112" s="161"/>
      <c r="S112" s="161"/>
      <c r="T112" s="161"/>
      <c r="U112" s="161"/>
      <c r="V112" s="161"/>
      <c r="W112" s="162"/>
      <c r="X112" s="110" t="s">
        <v>287</v>
      </c>
      <c r="Y112" s="110"/>
      <c r="Z112" s="110"/>
      <c r="AA112" s="110"/>
      <c r="AB112" s="110"/>
      <c r="AC112" s="110"/>
      <c r="AD112" s="110"/>
      <c r="AE112" s="159"/>
      <c r="AF112" s="11"/>
      <c r="AG112" s="11"/>
    </row>
    <row r="113">
      <c r="A113" s="11"/>
      <c r="B113" s="11"/>
      <c r="C113" s="11"/>
      <c r="D113" s="11"/>
      <c r="E113" s="11"/>
      <c r="F113" s="145" t="s">
        <v>296</v>
      </c>
      <c r="O113" s="141"/>
      <c r="P113" s="110"/>
      <c r="Q113" s="110"/>
      <c r="R113" s="110"/>
      <c r="S113" s="110"/>
      <c r="T113" s="110"/>
      <c r="U113" s="110"/>
      <c r="V113" s="110"/>
      <c r="W113" s="110"/>
      <c r="X113" s="110" t="s">
        <v>289</v>
      </c>
      <c r="Y113" s="110"/>
      <c r="Z113" s="110"/>
      <c r="AA113" s="110"/>
      <c r="AB113" s="110"/>
      <c r="AC113" s="110"/>
      <c r="AD113" s="110"/>
      <c r="AE113" s="159"/>
      <c r="AF113" s="11"/>
      <c r="AG113" s="11"/>
    </row>
    <row r="114">
      <c r="A114" s="11"/>
      <c r="B114" s="11"/>
      <c r="C114" s="11"/>
      <c r="D114" s="11"/>
      <c r="E114" s="11"/>
      <c r="F114" s="152" t="s">
        <v>297</v>
      </c>
      <c r="O114" s="141"/>
      <c r="P114" s="110"/>
      <c r="Q114" s="110"/>
      <c r="R114" s="110"/>
      <c r="S114" s="110"/>
      <c r="T114" s="110"/>
      <c r="U114" s="110"/>
      <c r="V114" s="110"/>
      <c r="W114" s="110"/>
      <c r="X114" s="110" t="s">
        <v>292</v>
      </c>
      <c r="Y114" s="110"/>
      <c r="Z114" s="110"/>
      <c r="AA114" s="110"/>
      <c r="AB114" s="110"/>
      <c r="AC114" s="110"/>
      <c r="AD114" s="110"/>
      <c r="AE114" s="159"/>
      <c r="AF114" s="11"/>
      <c r="AG114" s="11"/>
    </row>
    <row r="115">
      <c r="A115" s="11"/>
      <c r="B115" s="11"/>
      <c r="C115" s="11"/>
      <c r="D115" s="11"/>
      <c r="E115" s="11"/>
      <c r="F115" s="145" t="s">
        <v>298</v>
      </c>
      <c r="O115" s="141"/>
      <c r="P115" s="110"/>
      <c r="Q115" s="110"/>
      <c r="R115" s="110"/>
      <c r="S115" s="110"/>
      <c r="T115" s="110"/>
      <c r="U115" s="110"/>
      <c r="V115" s="110"/>
      <c r="W115" s="110"/>
      <c r="X115" s="161" t="s">
        <v>295</v>
      </c>
      <c r="Y115" s="161"/>
      <c r="Z115" s="161"/>
      <c r="AA115" s="161"/>
      <c r="AB115" s="161"/>
      <c r="AC115" s="161"/>
      <c r="AD115" s="161"/>
      <c r="AE115" s="162"/>
      <c r="AF115" s="11"/>
      <c r="AG115" s="11"/>
    </row>
    <row r="116">
      <c r="A116" s="11"/>
      <c r="B116" s="11"/>
      <c r="C116" s="11"/>
      <c r="D116" s="11"/>
      <c r="E116" s="11"/>
      <c r="F116" s="155" t="s">
        <v>299</v>
      </c>
      <c r="G116" s="156"/>
      <c r="H116" s="156"/>
      <c r="I116" s="156"/>
      <c r="J116" s="156"/>
      <c r="K116" s="156"/>
      <c r="L116" s="156"/>
      <c r="M116" s="156"/>
      <c r="N116" s="156"/>
      <c r="O116" s="157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"/>
      <c r="AG116" s="11"/>
    </row>
    <row r="117">
      <c r="A117" s="11"/>
      <c r="B117" s="11"/>
      <c r="C117" s="11"/>
      <c r="D117" s="11"/>
      <c r="E117" s="11"/>
      <c r="F117" s="110"/>
      <c r="G117" s="110"/>
      <c r="H117" s="60"/>
      <c r="I117" s="60"/>
      <c r="J117" s="110"/>
      <c r="K117" s="6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"/>
      <c r="AG117" s="11"/>
    </row>
    <row r="118">
      <c r="A118" s="11"/>
      <c r="B118" s="11"/>
      <c r="C118" s="11"/>
      <c r="D118" s="11"/>
      <c r="E118" s="11"/>
      <c r="F118" s="11"/>
      <c r="G118" s="110"/>
      <c r="H118" s="60"/>
      <c r="I118" s="60"/>
      <c r="J118" s="60"/>
      <c r="K118" s="6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"/>
      <c r="AG118" s="11"/>
    </row>
    <row r="119">
      <c r="A119" s="11"/>
      <c r="B119" s="11"/>
      <c r="C119" s="11"/>
      <c r="D119" s="11"/>
      <c r="E119" s="11"/>
      <c r="F119" s="11"/>
      <c r="G119" s="110"/>
      <c r="H119" s="110"/>
      <c r="I119" s="110"/>
      <c r="J119" s="6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"/>
      <c r="AG119" s="11"/>
    </row>
    <row r="120">
      <c r="A120" s="11"/>
      <c r="B120" s="163"/>
      <c r="C120" s="164"/>
      <c r="D120" s="164"/>
      <c r="E120" s="163"/>
      <c r="F120" s="163"/>
      <c r="G120" s="110"/>
      <c r="H120" s="60"/>
      <c r="I120" s="60"/>
      <c r="J120" s="110"/>
      <c r="K120" s="6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"/>
      <c r="AG120" s="11"/>
    </row>
    <row r="121">
      <c r="A121" s="11"/>
      <c r="B121" s="163"/>
      <c r="C121" s="164"/>
      <c r="D121" s="164"/>
      <c r="E121" s="163"/>
      <c r="F121" s="163"/>
      <c r="G121" s="110"/>
      <c r="H121" s="60"/>
      <c r="I121" s="60"/>
      <c r="J121" s="60"/>
      <c r="K121" s="6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"/>
      <c r="AG121" s="11"/>
    </row>
    <row r="122">
      <c r="A122" s="11"/>
      <c r="B122" s="11"/>
      <c r="C122" s="10"/>
      <c r="D122" s="10"/>
      <c r="E122" s="163"/>
      <c r="F122" s="163"/>
      <c r="G122" s="110"/>
      <c r="H122" s="110"/>
      <c r="I122" s="110"/>
      <c r="J122" s="6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"/>
      <c r="AG122" s="11"/>
    </row>
  </sheetData>
  <mergeCells count="95">
    <mergeCell ref="P82:W82"/>
    <mergeCell ref="X82:AE82"/>
    <mergeCell ref="F80:O80"/>
    <mergeCell ref="P80:W80"/>
    <mergeCell ref="X80:AE80"/>
    <mergeCell ref="F81:O81"/>
    <mergeCell ref="P81:W81"/>
    <mergeCell ref="X81:AE81"/>
    <mergeCell ref="F82:O82"/>
    <mergeCell ref="P85:W85"/>
    <mergeCell ref="X85:AE85"/>
    <mergeCell ref="F83:O83"/>
    <mergeCell ref="P83:W83"/>
    <mergeCell ref="X83:AE83"/>
    <mergeCell ref="F84:O84"/>
    <mergeCell ref="P84:W84"/>
    <mergeCell ref="X84:AE84"/>
    <mergeCell ref="F85:O85"/>
    <mergeCell ref="F86:O86"/>
    <mergeCell ref="X86:AE86"/>
    <mergeCell ref="F87:O87"/>
    <mergeCell ref="X87:AE87"/>
    <mergeCell ref="F88:O88"/>
    <mergeCell ref="P88:W88"/>
    <mergeCell ref="X88:AE88"/>
    <mergeCell ref="F89:O89"/>
    <mergeCell ref="P89:W89"/>
    <mergeCell ref="F90:O90"/>
    <mergeCell ref="P90:W90"/>
    <mergeCell ref="X90:AE90"/>
    <mergeCell ref="P91:W91"/>
    <mergeCell ref="X91:AE91"/>
    <mergeCell ref="F91:O91"/>
    <mergeCell ref="F92:O92"/>
    <mergeCell ref="P92:W92"/>
    <mergeCell ref="X92:AE92"/>
    <mergeCell ref="F93:O93"/>
    <mergeCell ref="P93:W93"/>
    <mergeCell ref="X93:AE93"/>
    <mergeCell ref="P105:W105"/>
    <mergeCell ref="X105:AE105"/>
    <mergeCell ref="F103:O103"/>
    <mergeCell ref="P103:W103"/>
    <mergeCell ref="X103:AE103"/>
    <mergeCell ref="F104:O104"/>
    <mergeCell ref="P104:W104"/>
    <mergeCell ref="X104:AE104"/>
    <mergeCell ref="F105:O105"/>
    <mergeCell ref="P108:W108"/>
    <mergeCell ref="X108:AE108"/>
    <mergeCell ref="F106:O106"/>
    <mergeCell ref="P106:W106"/>
    <mergeCell ref="X106:AE106"/>
    <mergeCell ref="F107:O107"/>
    <mergeCell ref="P107:W107"/>
    <mergeCell ref="X107:AE107"/>
    <mergeCell ref="F108:O108"/>
    <mergeCell ref="P96:W96"/>
    <mergeCell ref="X96:AE96"/>
    <mergeCell ref="F94:O94"/>
    <mergeCell ref="P94:W94"/>
    <mergeCell ref="X94:AE94"/>
    <mergeCell ref="F95:O95"/>
    <mergeCell ref="P95:W95"/>
    <mergeCell ref="X95:AE95"/>
    <mergeCell ref="F96:O96"/>
    <mergeCell ref="P99:W99"/>
    <mergeCell ref="X99:AE99"/>
    <mergeCell ref="F97:O97"/>
    <mergeCell ref="P97:W97"/>
    <mergeCell ref="X97:AE97"/>
    <mergeCell ref="F98:O98"/>
    <mergeCell ref="P98:W98"/>
    <mergeCell ref="X98:AE98"/>
    <mergeCell ref="F99:O99"/>
    <mergeCell ref="P102:W102"/>
    <mergeCell ref="X102:AE102"/>
    <mergeCell ref="F100:O100"/>
    <mergeCell ref="P100:W100"/>
    <mergeCell ref="X100:AE100"/>
    <mergeCell ref="F101:O101"/>
    <mergeCell ref="P101:W101"/>
    <mergeCell ref="X101:AE101"/>
    <mergeCell ref="F102:O102"/>
    <mergeCell ref="F113:O113"/>
    <mergeCell ref="F114:O114"/>
    <mergeCell ref="F115:O115"/>
    <mergeCell ref="F116:O116"/>
    <mergeCell ref="F109:O109"/>
    <mergeCell ref="X109:AE109"/>
    <mergeCell ref="F110:O110"/>
    <mergeCell ref="X110:AE110"/>
    <mergeCell ref="F111:O111"/>
    <mergeCell ref="X111:AE111"/>
    <mergeCell ref="F112:O112"/>
  </mergeCells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J78 M52:N78 P52:Q78 T52:U78 W52:X78 AA52:AB78 AD52:AE78">
    <cfRule type="containsText" dxfId="0" priority="1" operator="containsText" text="K2a">
      <formula>NOT(ISERROR(SEARCH(("K2a"),(F5))))</formula>
    </cfRule>
  </conditionalFormatting>
  <conditionalFormatting sqref="F5:AG78">
    <cfRule type="cellIs" dxfId="1" priority="2" operator="equal">
      <formula>"TH1a"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J78 M52:N78 P52:Q78 T52:U78 W52:X78 AA52:AB78 AD52:AE78">
    <cfRule type="cellIs" dxfId="2" priority="3" operator="equal">
      <formula>"N1"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J78 M52:N78 P52:Q78 T52:U78 W52:X78 AA52:AB78 AD52:AE78">
    <cfRule type="cellIs" dxfId="2" priority="4" operator="equal">
      <formula>"N2"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J78 M52:N78 P52:Q78 T52:U78 W52:X78 AA52:AB78 AD52:AE78">
    <cfRule type="cellIs" dxfId="2" priority="5" operator="equal">
      <formula>"N3"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J78 M52:N78 P52:Q78 T52:U78 W52:X78 AA52:AB78 AD52:AE78">
    <cfRule type="cellIs" dxfId="2" priority="6" operator="equal">
      <formula>"NF"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3" priority="7" operator="equal">
      <formula>"D2a"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J78 M52:N78 P52:Q78 T52:U78 W52:X78 AA52:AB78 AD52:AE78">
    <cfRule type="containsText" dxfId="4" priority="8" operator="containsText" text="T1n">
      <formula>NOT(ISERROR(SEARCH(("T1n"),(F5))))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3" priority="9" operator="equal">
      <formula>"DT"</formula>
    </cfRule>
  </conditionalFormatting>
  <conditionalFormatting sqref="M5:N17 O5:O78 T5:U17 H7:H17 K7:K9 L7:L17 R7:S17 V7:V17 Y7:Y14 Z7:Z17 AC7:AC17 AF7:AF17 AG7:AG13 J8:J17 P8:Q17 W8:W14 X8:X17 AA8:AA15 AB8:AB17 AD8:AE17 I10:I17 K11:K17 AG15:AG17 W16:W17 Y16:Y17 F19:N26 P19:AG26 F28:N37 P28:AG37 F39:N50 P39:AG50 F52:N69 P52:AG69 K71:L78 R71 Y71:Z78 M72:N75 S72 AF72:AF78 AG72:AG73 R73:R76 AG75:AG78">
    <cfRule type="cellIs" dxfId="5" priority="10" operator="equal">
      <formula>"B2"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1:G78 I71:J78 M71:N78 P71:Q78 T71:U78 W71:X78 AA71:AB78 AD71:AE78">
    <cfRule type="cellIs" dxfId="6" priority="11" operator="equal">
      <formula>"WC"</formula>
    </cfRule>
  </conditionalFormatting>
  <conditionalFormatting sqref="M5:N17 O5:O78 T5:U17 H7:H17 K7:K9 L7:L17 R7:S17 V7:V17 Y7:Y14 Z7:Z17 AC7:AC17 AF7:AF17 AG7:AG13 J8:J17 P8:Q17 W8:W14 X8:X17 AA8:AA15 AB8:AB17 AD8:AE17 I10:I17 K11:K17 AG15:AG17 W16:W17 Y16:Y17 F19:N26 P19:AG26 F28:N37 P28:AG37 F39:N50 P39:AG50 F52:N69 P52:AG69 K71:L78 R71 Y71:Z78 M72:N75 S72 AF72:AF78 AG72:AG73 R73:R76 AG75:AG78">
    <cfRule type="cellIs" dxfId="5" priority="12" operator="equal">
      <formula>"PT2"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5" priority="13" operator="equal">
      <formula>"PT2"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5" priority="14" operator="equal">
      <formula>"B4"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7" priority="15" operator="equal">
      <formula>"PB2"</formula>
    </cfRule>
  </conditionalFormatting>
  <conditionalFormatting sqref="K7:K9 R7:R10 S7 V7:V17 Y7:Y13 Z7:Z14 AC7:AC17 AF7:AG13 M8:M17 T8:T11 U8:U17 W8:W14 X8:X15 AA8:AA14 AB8:AB17 AD8:AD16 AE8:AE14 H10:H11 J10:J12 N10:N17 O10:O16 S10 I11:I17 K11:K17 L11:L12 P11 Q11:Q12 P13:P16 T13:T17 X17 AE17 F19:AG26 F28:AG37 H39:H50 K39:L50 O39:O50 P39 R39:S50 T39:V46 W39:W50 X39:X46 Y39:AC50 AD39:AD46 AE39:AG50 N40 F41:G41 Q41 F43:G43 Q44:Q45 F46 T48:V50 X48:X50 AD48:AD50 H52:H69 K52:L69 O52:O56 R52:S69 V52:V69 Y52:Z69 AC52:AC56 AF52:AG69 G55 Q56:Q57 O58:O69 T58 AC58:AC69 M59:M60 N59 J60 X60:X61 T61:T62 F62 U66 T68:U68 AE68:AE69 F69 F71:AG78">
    <cfRule type="cellIs" dxfId="5" priority="16" operator="equal">
      <formula>"PT2"</formula>
    </cfRule>
  </conditionalFormatting>
  <conditionalFormatting sqref="K7:K9 R7:R10 S7 V7:V17 Y7:Y13 Z7:Z14 AC7:AC17 AF7:AG13 M8:M17 T8:T11 U8:U17 W8:W14 X8:X15 AA8:AA14 AB8:AB17 AD8:AD16 AE8:AE14 H10:H11 J10:J12 N10:N17 O10:O16 S10 I11:I17 K11:K17 L11:L12 P11 Q11:Q12 P13:P16 T13:T17 X17 AE17 F19:AG26 F28:AG37 H39:H50 K39:L50 O39:O50 P39 R39:S50 T39:V46 W39:W50 X39:X46 Y39:AC50 AD39:AD46 AE39:AG50 N40 F41:G41 Q41 F43:G43 Q44:Q45 F46 T48:V50 X48:X50 AD48:AD50 H52:H69 K52:L69 O52:O56 R52:S69 V52:V69 Y52:Z69 AC52:AC56 AF52:AG69 G55 Q56:Q57 O58:O69 T58 AC58:AC69 M59:M60 N59 J60 X60:X61 T61:T62 F62 U66 T68:U68 AE68:AE69 F69 F71:AG78">
    <cfRule type="cellIs" dxfId="5" priority="17" operator="equal">
      <formula>"B4"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7" priority="18" operator="equal">
      <formula>"PB4"</formula>
    </cfRule>
  </conditionalFormatting>
  <conditionalFormatting sqref="M5:N17 O5:O78 T5:U17 H7:H17 K7:K9 L7:L17 R7:S17 V7:V17 Y7:Y14 Z7:Z17 AC7:AC17 AF7:AF17 AG7:AG13 J8:J17 P8:Q17 W8:W14 X8:X17 AA8:AA15 AB8:AB17 AD8:AE17 I10:I17 K11:K17 AG15:AG17 W16:W17 Y16:Y17 F19:N26 P19:AG26 F28:N37 P28:AG37 F39:N50 P39:AG50 F52:N69 P52:AG69 K71:L78 R71 Y71:Z78 M72:N75 S72 AF72:AF78 AG72:AG73 R73:R76 AG75:AG78">
    <cfRule type="cellIs" dxfId="7" priority="19" operator="equal">
      <formula>"PB2"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5" priority="20" operator="equal">
      <formula>"PT4"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2" priority="21" operator="equal">
      <formula>"PB4"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1" priority="22" operator="equal">
      <formula>"TT"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3" priority="23" operator="equal">
      <formula>"PB8"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8" priority="24" operator="equal">
      <formula>"C"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6" priority="25" operator="equal">
      <formula>"WC"</formula>
    </cfRule>
  </conditionalFormatting>
  <conditionalFormatting sqref="M5:N17 O5:O78 T5:U17 H7:H17 K7:K9 L7:L17 R7:S17 V7:V17 Y7:Y14 Z7:Z17 AC7:AC17 AF7:AF17 AG7:AG13 J8:J17 P8:Q17 W8:W14 X8:X17 AA8:AA15 AB8:AB17 AD8:AE17 I10:I17 K11:K17 AG15:AG17 W16:W17 Y16:Y17 F19:N26 P19:AG26 F28:N37 P28:AG37 F39:N50 P39:AG50 F52:N69 P52:AG69 K71:L78 R71:R78 Y71:Z78 M72:N78 S72:S78 AF72:AF78 AG72:AG73 F73:J78 P73:Q78 AG75:AG78 T78:X78 AA78:AE78">
    <cfRule type="cellIs" dxfId="9" priority="26" operator="equal">
      <formula>"TN"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1:G78 I71:J78 M71:N78 P71:Q78 T71:U78 W71:X78 AA71:AB78 AD71:AE78">
    <cfRule type="cellIs" dxfId="10" priority="27" operator="equal">
      <formula>"K2b"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3" priority="28" operator="equal">
      <formula>"D5a"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3" priority="29" operator="equal">
      <formula>"D4a"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11" priority="30" operator="equal">
      <formula>"R4"</formula>
    </cfRule>
  </conditionalFormatting>
  <conditionalFormatting sqref="K7:K9 O7:O16 R7:S17 V7:V17 Y7:Z14 AC7:AC17 AF7:AG13 M8:M17 P8:Q9 T8:T11 U8:U17 W8:W14 X8:X15 AA8:AA14 AB8:AB17 AD8:AD16 AE8:AE14 H10:H11 J10:J12 L10:L12 N10:N17 I11:I17 K11:K17 P11 Q11:Q12 P13:P16 T13:T17 Q16 X17 AE17:AG17 F19:AG26 F28:AG37 F39:AG50 F52:AG69 R71 R73:R75 AF73 AF75:AG78 Y76:Y78">
    <cfRule type="cellIs" dxfId="7" priority="31" operator="equal">
      <formula>"PB4"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5" priority="32" operator="equal">
      <formula>"T1p"</formula>
    </cfRule>
  </conditionalFormatting>
  <conditionalFormatting sqref="K7:K9 O7:O16 R7:S17 V7:V17 Y7:Z14 AC7:AC17 AF7:AG13 M8:M17 P8:Q9 T8:T11 U8:U17 W8:W14 X8:X15 AA8:AA14 AB8:AB17 AD8:AD16 AE8:AE14 H10:H11 J10:J12 L10:L12 N10:N17 I11:I17 K11:K17 P11 Q11:Q12 P13:P16 T13:T17 Q16 X17 AE17:AG17 F19:AG26 F28:AG37 H39:AG50 F41:G41 F43:G43 F45:G46 F52:AG69 R71 R73:R75 AF73 AF75:AG78 Y76:Y78">
    <cfRule type="cellIs" dxfId="1" priority="33" operator="equal">
      <formula>"PT12"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ontainsText" dxfId="5" priority="34" operator="containsText" text="B10">
      <formula>NOT(ISERROR(SEARCH(("B10"),(F5))))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1" priority="35" operator="equal">
      <formula>"PT8"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1" priority="36" operator="equal">
      <formula>"TF"</formula>
    </cfRule>
  </conditionalFormatting>
  <conditionalFormatting sqref="F41:G41 K41:L41 F43:G43 K43:L43 F45:G46 K47:M47 T47:U47 X47 AD47 J48:J50 Q48:Q50 F52:I69 J52:J58 K52:S69 T52:T57 U52:U67 V52:AC69 AD52:AD66 AE52:AG69 T59:T69 J60:J69 AD68:AD69 U69 Y76:Y78">
    <cfRule type="cellIs" dxfId="12" priority="37" operator="equal">
      <formula>"I"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7" priority="38" operator="equal">
      <formula>"D1"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7" priority="39" operator="equal">
      <formula>"D2"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7" priority="40" operator="equal">
      <formula>"D3"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7" priority="41" operator="equal">
      <formula>"D1a"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7" priority="42" operator="equal">
      <formula>"D3p"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7" priority="43" operator="equal">
      <formula>"D4a"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7" priority="44" operator="equal">
      <formula>"D2p"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13" priority="45" operator="equal">
      <formula>"D5"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13" priority="46" operator="equal">
      <formula>"D4"</formula>
    </cfRule>
  </conditionalFormatting>
  <conditionalFormatting sqref="K7:K9 O7:O9 R7:S17 Y7:Z8 AF7:AG8 P8:Q9 L10:L12 K11:K17 O12 Q12 P13:P16 Y13:Y14 Z13 AF13:AG13 V14:V17 AA14 Q16 T17:U17 AE17:AG17 K19 L19:L20 M19:M26 P19:P26 R19:S26 T19:U20 V19:V26 W19:Y20 Z19:Z21 AA19:AA26 AB19:AE20 AF19:AF22 AG19:AG26 AB22:AB26 AD22:AE26 T23:U23 W23:W26 X23:Z23 AC23 Y25:Z25 AF26 G28:H37 K28:L29 R28:S37 V28:V37 AF28:AG37 J29 N29 Q29 N31:O32 W31:W37 M32 AA32:AA33 AD32:AE32 L33:L34 Q33 T33:U33 K34 AC34 AE34:AE37 T35:U35 AD35:AD36 X36:Z37 AC36 F39:AG50 F52:AG69 R71 AF73 AF75:AG78 Y76:Y78">
    <cfRule type="cellIs" dxfId="7" priority="47" operator="equal">
      <formula>"D4"</formula>
    </cfRule>
  </conditionalFormatting>
  <conditionalFormatting sqref="K7:K9 O7:O9 R7:S17 Y7:Z8 AF7:AG8 P8:Q9 L10:L12 K11:K17 O12 Q12 P13:P16 Y13:Y14 Z13 AF13:AG13 V14:V17 AA14 Q16 T17:U17 AE17:AG17 K19 L19:L20 M19:M26 P19:P26 R19:S26 T19:U20 V19:V26 W19:Y20 Z19:Z21 AA19:AA26 AB19:AE20 AF19:AF22 AG19:AG26 AB22:AB26 AD22:AE26 T23:U23 W23:W26 X23:Z23 AC23 Y25:Z25 AF26 G28:H37 K28:L29 R28:S37 V28:V37 AF28:AG37 J29 N29 Q29 N31:O32 W31:W37 M32 AA32:AA33 AD32:AE32 L33:L34 Q33 T33:U33 K34 AC34 AE34:AE37 T35:U35 AD35:AD36 X36:Z37 AC36 F39:AG50 F52:AG69 R71 AF73 AF75:AG78 Y76:Y78">
    <cfRule type="cellIs" dxfId="7" priority="48" operator="equal">
      <formula>"D5"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J78 M52:N78 P52:Q78 T52:U78 W52:X78 AA52:AB78 AD52:AE78">
    <cfRule type="cellIs" dxfId="14" priority="49" operator="equal">
      <formula>"N2a"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J78 M52:N78 P52:Q78 T52:U78 W52:X78 AA52:AB78 AD52:AE78">
    <cfRule type="cellIs" dxfId="2" priority="50" operator="equal">
      <formula>"N2b"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7" priority="51" operator="equal">
      <formula>"D2a"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G69 H52:H78 I52:J69 M52:N69 P52:Q69 T52:U69 W52:X69 AA52:AB69 AD52:AE69 F72:G75 I72:J75 M72:N75 P72:Q75 T78:U78 W78:X78 AA78:AB78 AD78:AE78">
    <cfRule type="cellIs" dxfId="7" priority="52" operator="equal">
      <formula>"D2b"</formula>
    </cfRule>
  </conditionalFormatting>
  <conditionalFormatting sqref="F5:J17 K5:L78 M5:N17 O5:O78 P5:Q17 R5:S78 T5:U17 V5:V78 W5:X17 Y5:Z78 AA5:AB17 AC5:AC78 AD5:AE17 AF5:AG78 F19:J26 M19:N26 P19:Q26 T19:U26 W19:X26 AA19:AB26 AD19:AE26 F28:J37 M28:N37 P28:Q37 T28:U37 W28:X37 AA28:AB37 AD28:AE37 F39:J50 M39:N50 P39:Q50 T39:U50 W39:X50 AA39:AB50 AD39:AE50 F52:J78 M52:N78 P52:Q78 T52:U78 W52:X78 AA52:AB78 AD52:AE78">
    <cfRule type="cellIs" dxfId="2" priority="53" operator="equal">
      <formula>"N2b"</formula>
    </cfRule>
  </conditionalFormatting>
  <conditionalFormatting sqref="H45">
    <cfRule type="cellIs" dxfId="5" priority="54" operator="equal">
      <formula>"T1p"</formula>
    </cfRule>
  </conditionalFormatting>
  <conditionalFormatting sqref="L20 R20 F39:AG78">
    <cfRule type="cellIs" dxfId="15" priority="55" operator="equal">
      <formula>"PT8"</formula>
    </cfRule>
  </conditionalFormatting>
  <conditionalFormatting sqref="L20 R20 F39:AG78">
    <cfRule type="cellIs" dxfId="1" priority="56" operator="equal">
      <formula>"T1a"</formula>
    </cfRule>
  </conditionalFormatting>
  <hyperlinks>
    <hyperlink r:id="rId2" ref="A1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23.43"/>
    <col customWidth="1" min="2" max="3" width="5.57"/>
    <col customWidth="1" min="4" max="4" width="6.0"/>
    <col customWidth="1" min="5" max="15" width="5.57"/>
    <col customWidth="1" min="16" max="16" width="7.0"/>
    <col customWidth="1" min="17" max="27" width="5.57"/>
  </cols>
  <sheetData>
    <row r="1">
      <c r="A1" s="165">
        <v>1.0</v>
      </c>
      <c r="B1" s="166" t="s">
        <v>300</v>
      </c>
      <c r="C1" s="167" t="s">
        <v>301</v>
      </c>
      <c r="D1" s="168" t="s">
        <v>302</v>
      </c>
      <c r="E1" s="169" t="s">
        <v>303</v>
      </c>
      <c r="F1" s="166" t="s">
        <v>304</v>
      </c>
      <c r="G1" s="167" t="s">
        <v>305</v>
      </c>
      <c r="H1" s="170" t="s">
        <v>306</v>
      </c>
      <c r="I1" s="171" t="s">
        <v>307</v>
      </c>
      <c r="J1" s="166" t="s">
        <v>308</v>
      </c>
      <c r="K1" s="167" t="s">
        <v>309</v>
      </c>
      <c r="L1" s="168" t="s">
        <v>310</v>
      </c>
      <c r="M1" s="169" t="s">
        <v>311</v>
      </c>
      <c r="N1" s="172" t="s">
        <v>312</v>
      </c>
      <c r="O1" s="173" t="s">
        <v>313</v>
      </c>
      <c r="P1" s="170" t="s">
        <v>314</v>
      </c>
      <c r="Q1" s="171" t="s">
        <v>315</v>
      </c>
      <c r="R1" s="172" t="s">
        <v>316</v>
      </c>
      <c r="S1" s="173" t="s">
        <v>317</v>
      </c>
      <c r="T1" s="169" t="s">
        <v>318</v>
      </c>
      <c r="U1" s="168" t="s">
        <v>319</v>
      </c>
      <c r="V1" s="173" t="s">
        <v>320</v>
      </c>
      <c r="W1" s="173" t="s">
        <v>321</v>
      </c>
      <c r="X1" s="170" t="s">
        <v>322</v>
      </c>
      <c r="Y1" s="169" t="s">
        <v>323</v>
      </c>
      <c r="Z1" s="172" t="s">
        <v>324</v>
      </c>
      <c r="AA1" s="173" t="s">
        <v>325</v>
      </c>
    </row>
    <row r="2">
      <c r="B2" s="174">
        <v>44743.0</v>
      </c>
      <c r="C2" s="175">
        <v>45852.0</v>
      </c>
      <c r="D2" s="176">
        <v>45866.0</v>
      </c>
      <c r="E2" s="176">
        <v>45880.0</v>
      </c>
      <c r="F2" s="177">
        <v>45894.0</v>
      </c>
      <c r="G2" s="177">
        <v>45908.0</v>
      </c>
      <c r="H2" s="176">
        <v>45922.0</v>
      </c>
      <c r="I2" s="176">
        <v>45936.0</v>
      </c>
      <c r="J2" s="178">
        <v>45950.0</v>
      </c>
      <c r="K2" s="177">
        <v>45964.0</v>
      </c>
      <c r="L2" s="179">
        <v>45978.0</v>
      </c>
      <c r="M2" s="179">
        <v>45992.0</v>
      </c>
      <c r="N2" s="176">
        <v>46006.0</v>
      </c>
      <c r="O2" s="177">
        <v>46020.0</v>
      </c>
      <c r="P2" s="179">
        <v>45669.0</v>
      </c>
      <c r="Q2" s="179">
        <v>45683.0</v>
      </c>
      <c r="R2" s="180">
        <v>45697.0</v>
      </c>
      <c r="S2" s="180">
        <v>45711.0</v>
      </c>
      <c r="T2" s="176">
        <v>45725.0</v>
      </c>
      <c r="U2" s="176">
        <v>45739.0</v>
      </c>
      <c r="V2" s="180">
        <v>45753.0</v>
      </c>
      <c r="W2" s="176">
        <v>45767.0</v>
      </c>
      <c r="X2" s="179">
        <v>45781.0</v>
      </c>
      <c r="Y2" s="179">
        <v>45795.0</v>
      </c>
      <c r="Z2" s="180">
        <v>45809.0</v>
      </c>
      <c r="AA2" s="177">
        <v>45823.0</v>
      </c>
    </row>
    <row r="3">
      <c r="A3" s="44" t="s">
        <v>326</v>
      </c>
      <c r="B3" s="181" t="s">
        <v>327</v>
      </c>
      <c r="C3" s="181" t="s">
        <v>327</v>
      </c>
      <c r="D3" s="182" t="s">
        <v>3</v>
      </c>
      <c r="E3" s="183" t="s">
        <v>3</v>
      </c>
      <c r="F3" s="182" t="s">
        <v>328</v>
      </c>
      <c r="G3" s="183" t="s">
        <v>328</v>
      </c>
      <c r="H3" s="183" t="s">
        <v>329</v>
      </c>
      <c r="I3" s="182" t="s">
        <v>330</v>
      </c>
      <c r="J3" s="182" t="s">
        <v>331</v>
      </c>
      <c r="K3" s="183" t="s">
        <v>332</v>
      </c>
      <c r="L3" s="182" t="s">
        <v>112</v>
      </c>
      <c r="M3" s="183" t="s">
        <v>112</v>
      </c>
      <c r="N3" s="182" t="s">
        <v>333</v>
      </c>
      <c r="O3" s="183" t="s">
        <v>334</v>
      </c>
      <c r="P3" s="183" t="s">
        <v>330</v>
      </c>
      <c r="Q3" s="183" t="s">
        <v>335</v>
      </c>
      <c r="R3" s="183" t="s">
        <v>2</v>
      </c>
      <c r="S3" s="183" t="s">
        <v>2</v>
      </c>
      <c r="T3" s="182" t="s">
        <v>336</v>
      </c>
      <c r="U3" s="183" t="s">
        <v>334</v>
      </c>
      <c r="V3" s="183" t="s">
        <v>331</v>
      </c>
      <c r="W3" s="183" t="s">
        <v>337</v>
      </c>
      <c r="X3" s="183" t="s">
        <v>331</v>
      </c>
      <c r="Y3" s="183" t="s">
        <v>331</v>
      </c>
      <c r="Z3" s="183" t="s">
        <v>338</v>
      </c>
      <c r="AA3" s="183" t="s">
        <v>333</v>
      </c>
    </row>
    <row r="4">
      <c r="A4" s="44" t="s">
        <v>194</v>
      </c>
      <c r="B4" s="181" t="s">
        <v>327</v>
      </c>
      <c r="C4" s="181" t="s">
        <v>327</v>
      </c>
      <c r="D4" s="182" t="s">
        <v>328</v>
      </c>
      <c r="E4" s="183" t="s">
        <v>328</v>
      </c>
      <c r="F4" s="183" t="s">
        <v>3</v>
      </c>
      <c r="G4" s="183" t="s">
        <v>3</v>
      </c>
      <c r="H4" s="183" t="s">
        <v>331</v>
      </c>
      <c r="I4" s="183" t="s">
        <v>329</v>
      </c>
      <c r="J4" s="183" t="s">
        <v>336</v>
      </c>
      <c r="K4" s="182" t="s">
        <v>331</v>
      </c>
      <c r="L4" s="183" t="s">
        <v>337</v>
      </c>
      <c r="M4" s="183" t="s">
        <v>334</v>
      </c>
      <c r="N4" s="182" t="s">
        <v>330</v>
      </c>
      <c r="O4" s="183" t="s">
        <v>333</v>
      </c>
      <c r="P4" s="183" t="s">
        <v>112</v>
      </c>
      <c r="Q4" s="182" t="s">
        <v>112</v>
      </c>
      <c r="R4" s="183" t="s">
        <v>335</v>
      </c>
      <c r="S4" s="183" t="s">
        <v>332</v>
      </c>
      <c r="T4" s="182" t="s">
        <v>331</v>
      </c>
      <c r="U4" s="183" t="s">
        <v>331</v>
      </c>
      <c r="V4" s="183" t="s">
        <v>2</v>
      </c>
      <c r="W4" s="183" t="s">
        <v>2</v>
      </c>
      <c r="X4" s="183" t="s">
        <v>334</v>
      </c>
      <c r="Y4" s="183" t="s">
        <v>338</v>
      </c>
      <c r="Z4" s="182" t="s">
        <v>330</v>
      </c>
      <c r="AA4" s="182" t="s">
        <v>333</v>
      </c>
    </row>
    <row r="5">
      <c r="A5" s="44" t="s">
        <v>66</v>
      </c>
      <c r="B5" s="181" t="s">
        <v>327</v>
      </c>
      <c r="C5" s="181" t="s">
        <v>327</v>
      </c>
      <c r="D5" s="182" t="s">
        <v>3</v>
      </c>
      <c r="E5" s="183" t="s">
        <v>3</v>
      </c>
      <c r="F5" s="183" t="s">
        <v>335</v>
      </c>
      <c r="G5" s="183" t="s">
        <v>332</v>
      </c>
      <c r="H5" s="183" t="s">
        <v>334</v>
      </c>
      <c r="I5" s="182" t="s">
        <v>330</v>
      </c>
      <c r="J5" s="182" t="s">
        <v>328</v>
      </c>
      <c r="K5" s="183" t="s">
        <v>328</v>
      </c>
      <c r="L5" s="182" t="s">
        <v>331</v>
      </c>
      <c r="M5" s="182" t="s">
        <v>331</v>
      </c>
      <c r="N5" s="183" t="s">
        <v>112</v>
      </c>
      <c r="O5" s="182" t="s">
        <v>112</v>
      </c>
      <c r="P5" s="183" t="s">
        <v>334</v>
      </c>
      <c r="Q5" s="183" t="s">
        <v>331</v>
      </c>
      <c r="R5" s="183" t="s">
        <v>329</v>
      </c>
      <c r="S5" s="183" t="s">
        <v>333</v>
      </c>
      <c r="T5" s="183" t="s">
        <v>331</v>
      </c>
      <c r="U5" s="182" t="s">
        <v>336</v>
      </c>
      <c r="V5" s="183" t="s">
        <v>338</v>
      </c>
      <c r="W5" s="183" t="s">
        <v>330</v>
      </c>
      <c r="X5" s="183" t="s">
        <v>2</v>
      </c>
      <c r="Y5" s="183" t="s">
        <v>2</v>
      </c>
      <c r="Z5" s="183" t="s">
        <v>333</v>
      </c>
      <c r="AA5" s="183" t="s">
        <v>337</v>
      </c>
    </row>
    <row r="6">
      <c r="A6" s="44" t="s">
        <v>339</v>
      </c>
      <c r="B6" s="181" t="s">
        <v>327</v>
      </c>
      <c r="C6" s="181" t="s">
        <v>327</v>
      </c>
      <c r="D6" s="183" t="s">
        <v>331</v>
      </c>
      <c r="E6" s="182" t="s">
        <v>333</v>
      </c>
      <c r="F6" s="183" t="s">
        <v>112</v>
      </c>
      <c r="G6" s="182" t="s">
        <v>112</v>
      </c>
      <c r="H6" s="183" t="s">
        <v>334</v>
      </c>
      <c r="I6" s="183" t="s">
        <v>330</v>
      </c>
      <c r="J6" s="182" t="s">
        <v>333</v>
      </c>
      <c r="K6" s="182" t="s">
        <v>331</v>
      </c>
      <c r="L6" s="182" t="s">
        <v>328</v>
      </c>
      <c r="M6" s="183" t="s">
        <v>328</v>
      </c>
      <c r="N6" s="183" t="s">
        <v>338</v>
      </c>
      <c r="O6" s="183" t="s">
        <v>334</v>
      </c>
      <c r="P6" s="182" t="s">
        <v>331</v>
      </c>
      <c r="Q6" s="182" t="s">
        <v>329</v>
      </c>
      <c r="R6" s="183" t="s">
        <v>3</v>
      </c>
      <c r="S6" s="183" t="s">
        <v>3</v>
      </c>
      <c r="T6" s="183" t="s">
        <v>335</v>
      </c>
      <c r="U6" s="183" t="s">
        <v>330</v>
      </c>
      <c r="V6" s="182" t="s">
        <v>331</v>
      </c>
      <c r="W6" s="183" t="s">
        <v>336</v>
      </c>
      <c r="X6" s="183" t="s">
        <v>332</v>
      </c>
      <c r="Y6" s="183" t="s">
        <v>337</v>
      </c>
      <c r="Z6" s="183" t="s">
        <v>2</v>
      </c>
      <c r="AA6" s="183" t="s">
        <v>2</v>
      </c>
    </row>
    <row r="7">
      <c r="A7" s="44" t="s">
        <v>340</v>
      </c>
      <c r="B7" s="181" t="s">
        <v>327</v>
      </c>
      <c r="C7" s="181" t="s">
        <v>327</v>
      </c>
      <c r="D7" s="184" t="s">
        <v>2</v>
      </c>
      <c r="E7" s="184" t="s">
        <v>2</v>
      </c>
      <c r="F7" s="183" t="s">
        <v>330</v>
      </c>
      <c r="G7" s="183" t="s">
        <v>331</v>
      </c>
      <c r="H7" s="183" t="s">
        <v>3</v>
      </c>
      <c r="I7" s="183" t="s">
        <v>3</v>
      </c>
      <c r="J7" s="183" t="s">
        <v>337</v>
      </c>
      <c r="K7" s="183" t="s">
        <v>333</v>
      </c>
      <c r="L7" s="183" t="s">
        <v>332</v>
      </c>
      <c r="M7" s="183" t="s">
        <v>338</v>
      </c>
      <c r="N7" s="183" t="s">
        <v>330</v>
      </c>
      <c r="O7" s="182" t="s">
        <v>331</v>
      </c>
      <c r="P7" s="183" t="s">
        <v>334</v>
      </c>
      <c r="Q7" s="183" t="s">
        <v>334</v>
      </c>
      <c r="R7" s="183" t="s">
        <v>112</v>
      </c>
      <c r="S7" s="182" t="s">
        <v>112</v>
      </c>
      <c r="T7" s="183" t="s">
        <v>329</v>
      </c>
      <c r="U7" s="183" t="s">
        <v>335</v>
      </c>
      <c r="V7" s="183" t="s">
        <v>333</v>
      </c>
      <c r="W7" s="183" t="s">
        <v>331</v>
      </c>
      <c r="X7" s="182" t="s">
        <v>328</v>
      </c>
      <c r="Y7" s="183" t="s">
        <v>328</v>
      </c>
      <c r="Z7" s="183" t="s">
        <v>336</v>
      </c>
      <c r="AA7" s="183" t="s">
        <v>331</v>
      </c>
    </row>
    <row r="8">
      <c r="A8" s="44" t="s">
        <v>69</v>
      </c>
      <c r="B8" s="181" t="s">
        <v>327</v>
      </c>
      <c r="C8" s="181" t="s">
        <v>327</v>
      </c>
      <c r="D8" s="182" t="s">
        <v>328</v>
      </c>
      <c r="E8" s="183" t="s">
        <v>328</v>
      </c>
      <c r="F8" s="183" t="s">
        <v>2</v>
      </c>
      <c r="G8" s="183" t="s">
        <v>2</v>
      </c>
      <c r="H8" s="183" t="s">
        <v>3</v>
      </c>
      <c r="I8" s="183" t="s">
        <v>3</v>
      </c>
      <c r="J8" s="182" t="s">
        <v>329</v>
      </c>
      <c r="K8" s="182" t="s">
        <v>330</v>
      </c>
      <c r="L8" s="183" t="s">
        <v>333</v>
      </c>
      <c r="M8" s="183" t="s">
        <v>336</v>
      </c>
      <c r="N8" s="182" t="s">
        <v>331</v>
      </c>
      <c r="O8" s="182" t="s">
        <v>331</v>
      </c>
      <c r="P8" s="183" t="s">
        <v>335</v>
      </c>
      <c r="Q8" s="183" t="s">
        <v>333</v>
      </c>
      <c r="R8" s="183" t="s">
        <v>334</v>
      </c>
      <c r="S8" s="183" t="s">
        <v>331</v>
      </c>
      <c r="T8" s="183" t="s">
        <v>112</v>
      </c>
      <c r="U8" s="182" t="s">
        <v>112</v>
      </c>
      <c r="V8" s="183" t="s">
        <v>330</v>
      </c>
      <c r="W8" s="183" t="s">
        <v>331</v>
      </c>
      <c r="X8" s="183" t="s">
        <v>337</v>
      </c>
      <c r="Y8" s="183" t="s">
        <v>332</v>
      </c>
      <c r="Z8" s="183" t="s">
        <v>334</v>
      </c>
      <c r="AA8" s="183" t="s">
        <v>338</v>
      </c>
    </row>
    <row r="9">
      <c r="A9" s="44" t="s">
        <v>71</v>
      </c>
      <c r="B9" s="181" t="s">
        <v>327</v>
      </c>
      <c r="C9" s="181" t="s">
        <v>327</v>
      </c>
      <c r="D9" s="183" t="s">
        <v>2</v>
      </c>
      <c r="E9" s="183" t="s">
        <v>2</v>
      </c>
      <c r="F9" s="183" t="s">
        <v>330</v>
      </c>
      <c r="G9" s="182" t="s">
        <v>331</v>
      </c>
      <c r="H9" s="182" t="s">
        <v>328</v>
      </c>
      <c r="I9" s="183" t="s">
        <v>328</v>
      </c>
      <c r="J9" s="183" t="s">
        <v>3</v>
      </c>
      <c r="K9" s="183" t="s">
        <v>3</v>
      </c>
      <c r="L9" s="182" t="s">
        <v>331</v>
      </c>
      <c r="M9" s="183" t="s">
        <v>333</v>
      </c>
      <c r="N9" s="182" t="s">
        <v>336</v>
      </c>
      <c r="O9" s="183" t="s">
        <v>335</v>
      </c>
      <c r="P9" s="182" t="s">
        <v>332</v>
      </c>
      <c r="Q9" s="182" t="s">
        <v>331</v>
      </c>
      <c r="R9" s="183" t="s">
        <v>338</v>
      </c>
      <c r="S9" s="183" t="s">
        <v>333</v>
      </c>
      <c r="T9" s="183" t="s">
        <v>334</v>
      </c>
      <c r="U9" s="183" t="s">
        <v>337</v>
      </c>
      <c r="V9" s="183" t="s">
        <v>112</v>
      </c>
      <c r="W9" s="182" t="s">
        <v>112</v>
      </c>
      <c r="X9" s="183" t="s">
        <v>329</v>
      </c>
      <c r="Y9" s="182" t="s">
        <v>330</v>
      </c>
      <c r="Z9" s="183" t="s">
        <v>334</v>
      </c>
      <c r="AA9" s="183" t="s">
        <v>331</v>
      </c>
    </row>
    <row r="10">
      <c r="A10" s="44" t="s">
        <v>192</v>
      </c>
      <c r="B10" s="181" t="s">
        <v>327</v>
      </c>
      <c r="C10" s="181" t="s">
        <v>327</v>
      </c>
      <c r="D10" s="183" t="s">
        <v>334</v>
      </c>
      <c r="E10" s="183" t="s">
        <v>335</v>
      </c>
      <c r="F10" s="183" t="s">
        <v>331</v>
      </c>
      <c r="G10" s="183" t="s">
        <v>338</v>
      </c>
      <c r="H10" s="183" t="s">
        <v>333</v>
      </c>
      <c r="I10" s="182" t="s">
        <v>330</v>
      </c>
      <c r="J10" s="182" t="s">
        <v>328</v>
      </c>
      <c r="K10" s="183" t="s">
        <v>328</v>
      </c>
      <c r="L10" s="183" t="s">
        <v>3</v>
      </c>
      <c r="M10" s="183" t="s">
        <v>3</v>
      </c>
      <c r="N10" s="182" t="s">
        <v>331</v>
      </c>
      <c r="O10" s="183" t="s">
        <v>337</v>
      </c>
      <c r="P10" s="183" t="s">
        <v>333</v>
      </c>
      <c r="Q10" s="183" t="s">
        <v>331</v>
      </c>
      <c r="R10" s="182" t="s">
        <v>332</v>
      </c>
      <c r="S10" s="182" t="s">
        <v>329</v>
      </c>
      <c r="T10" s="183" t="s">
        <v>2</v>
      </c>
      <c r="U10" s="183" t="s">
        <v>2</v>
      </c>
      <c r="V10" s="183" t="s">
        <v>330</v>
      </c>
      <c r="W10" s="183" t="s">
        <v>331</v>
      </c>
      <c r="X10" s="183" t="s">
        <v>112</v>
      </c>
      <c r="Y10" s="182" t="s">
        <v>112</v>
      </c>
      <c r="Z10" s="183" t="s">
        <v>334</v>
      </c>
      <c r="AA10" s="183" t="s">
        <v>336</v>
      </c>
    </row>
    <row r="11">
      <c r="A11" s="44" t="s">
        <v>341</v>
      </c>
      <c r="B11" s="181" t="s">
        <v>327</v>
      </c>
      <c r="C11" s="181" t="s">
        <v>327</v>
      </c>
      <c r="D11" s="182" t="s">
        <v>336</v>
      </c>
      <c r="E11" s="183" t="s">
        <v>331</v>
      </c>
      <c r="F11" s="183" t="s">
        <v>332</v>
      </c>
      <c r="G11" s="182" t="s">
        <v>331</v>
      </c>
      <c r="H11" s="182" t="s">
        <v>328</v>
      </c>
      <c r="I11" s="183" t="s">
        <v>328</v>
      </c>
      <c r="J11" s="183" t="s">
        <v>335</v>
      </c>
      <c r="K11" s="183" t="s">
        <v>337</v>
      </c>
      <c r="L11" s="182" t="s">
        <v>3</v>
      </c>
      <c r="M11" s="183" t="s">
        <v>3</v>
      </c>
      <c r="N11" s="183" t="s">
        <v>333</v>
      </c>
      <c r="O11" s="183" t="s">
        <v>330</v>
      </c>
      <c r="P11" s="183" t="s">
        <v>2</v>
      </c>
      <c r="Q11" s="183" t="s">
        <v>2</v>
      </c>
      <c r="R11" s="183" t="s">
        <v>334</v>
      </c>
      <c r="S11" s="183" t="s">
        <v>334</v>
      </c>
      <c r="T11" s="183" t="s">
        <v>330</v>
      </c>
      <c r="U11" s="183" t="s">
        <v>338</v>
      </c>
      <c r="V11" s="183" t="s">
        <v>331</v>
      </c>
      <c r="W11" s="183" t="s">
        <v>333</v>
      </c>
      <c r="X11" s="183" t="s">
        <v>331</v>
      </c>
      <c r="Y11" s="183" t="s">
        <v>329</v>
      </c>
      <c r="Z11" s="183" t="s">
        <v>112</v>
      </c>
      <c r="AA11" s="182" t="s">
        <v>112</v>
      </c>
    </row>
    <row r="12">
      <c r="A12" s="44" t="s">
        <v>58</v>
      </c>
      <c r="B12" s="181" t="s">
        <v>327</v>
      </c>
      <c r="C12" s="181" t="s">
        <v>327</v>
      </c>
      <c r="D12" s="183" t="s">
        <v>112</v>
      </c>
      <c r="E12" s="182" t="s">
        <v>112</v>
      </c>
      <c r="F12" s="182" t="s">
        <v>329</v>
      </c>
      <c r="G12" s="183" t="s">
        <v>336</v>
      </c>
      <c r="H12" s="183" t="s">
        <v>338</v>
      </c>
      <c r="I12" s="182" t="s">
        <v>333</v>
      </c>
      <c r="J12" s="183" t="s">
        <v>2</v>
      </c>
      <c r="K12" s="183" t="s">
        <v>2</v>
      </c>
      <c r="L12" s="183" t="s">
        <v>330</v>
      </c>
      <c r="M12" s="183" t="s">
        <v>335</v>
      </c>
      <c r="N12" s="182" t="s">
        <v>3</v>
      </c>
      <c r="O12" s="183" t="s">
        <v>3</v>
      </c>
      <c r="P12" s="183" t="s">
        <v>334</v>
      </c>
      <c r="Q12" s="183" t="s">
        <v>337</v>
      </c>
      <c r="R12" s="183" t="s">
        <v>331</v>
      </c>
      <c r="S12" s="183" t="s">
        <v>331</v>
      </c>
      <c r="T12" s="182" t="s">
        <v>328</v>
      </c>
      <c r="U12" s="183" t="s">
        <v>328</v>
      </c>
      <c r="V12" s="183" t="s">
        <v>332</v>
      </c>
      <c r="W12" s="183" t="s">
        <v>334</v>
      </c>
      <c r="X12" s="183" t="s">
        <v>333</v>
      </c>
      <c r="Y12" s="182" t="s">
        <v>331</v>
      </c>
      <c r="Z12" s="183" t="s">
        <v>330</v>
      </c>
      <c r="AA12" s="183" t="s">
        <v>331</v>
      </c>
    </row>
    <row r="13">
      <c r="A13" s="44" t="s">
        <v>342</v>
      </c>
      <c r="B13" s="181" t="s">
        <v>327</v>
      </c>
      <c r="C13" s="181" t="s">
        <v>327</v>
      </c>
      <c r="D13" s="183" t="s">
        <v>335</v>
      </c>
      <c r="E13" s="182" t="s">
        <v>333</v>
      </c>
      <c r="F13" s="183" t="s">
        <v>331</v>
      </c>
      <c r="G13" s="182" t="s">
        <v>333</v>
      </c>
      <c r="H13" s="183" t="s">
        <v>337</v>
      </c>
      <c r="I13" s="183" t="s">
        <v>336</v>
      </c>
      <c r="J13" s="183" t="s">
        <v>334</v>
      </c>
      <c r="K13" s="182" t="s">
        <v>330</v>
      </c>
      <c r="L13" s="182" t="s">
        <v>2</v>
      </c>
      <c r="M13" s="183" t="s">
        <v>2</v>
      </c>
      <c r="N13" s="183" t="s">
        <v>334</v>
      </c>
      <c r="O13" s="183" t="s">
        <v>332</v>
      </c>
      <c r="P13" s="183" t="s">
        <v>3</v>
      </c>
      <c r="Q13" s="183" t="s">
        <v>3</v>
      </c>
      <c r="R13" s="182" t="s">
        <v>328</v>
      </c>
      <c r="S13" s="183" t="s">
        <v>328</v>
      </c>
      <c r="T13" s="183" t="s">
        <v>331</v>
      </c>
      <c r="U13" s="183" t="s">
        <v>329</v>
      </c>
      <c r="V13" s="182" t="s">
        <v>338</v>
      </c>
      <c r="W13" s="183" t="s">
        <v>330</v>
      </c>
      <c r="X13" s="182" t="s">
        <v>331</v>
      </c>
      <c r="Y13" s="182" t="s">
        <v>331</v>
      </c>
      <c r="Z13" s="183" t="s">
        <v>112</v>
      </c>
      <c r="AA13" s="182" t="s">
        <v>112</v>
      </c>
    </row>
    <row r="14">
      <c r="A14" s="44" t="s">
        <v>343</v>
      </c>
      <c r="B14" s="181" t="s">
        <v>327</v>
      </c>
      <c r="C14" s="181" t="s">
        <v>327</v>
      </c>
      <c r="D14" s="183" t="s">
        <v>332</v>
      </c>
      <c r="E14" s="183" t="s">
        <v>331</v>
      </c>
      <c r="F14" s="183" t="s">
        <v>333</v>
      </c>
      <c r="G14" s="183" t="s">
        <v>335</v>
      </c>
      <c r="H14" s="183" t="s">
        <v>2</v>
      </c>
      <c r="I14" s="183" t="s">
        <v>2</v>
      </c>
      <c r="J14" s="182" t="s">
        <v>331</v>
      </c>
      <c r="K14" s="183" t="s">
        <v>334</v>
      </c>
      <c r="L14" s="183" t="s">
        <v>331</v>
      </c>
      <c r="M14" s="183" t="s">
        <v>330</v>
      </c>
      <c r="N14" s="183" t="s">
        <v>337</v>
      </c>
      <c r="O14" s="183" t="s">
        <v>338</v>
      </c>
      <c r="P14" s="182" t="s">
        <v>328</v>
      </c>
      <c r="Q14" s="183" t="s">
        <v>328</v>
      </c>
      <c r="R14" s="183" t="s">
        <v>3</v>
      </c>
      <c r="S14" s="183" t="s">
        <v>3</v>
      </c>
      <c r="T14" s="183" t="s">
        <v>336</v>
      </c>
      <c r="U14" s="182" t="s">
        <v>333</v>
      </c>
      <c r="V14" s="183" t="s">
        <v>330</v>
      </c>
      <c r="W14" s="183" t="s">
        <v>329</v>
      </c>
      <c r="X14" s="183" t="s">
        <v>112</v>
      </c>
      <c r="Y14" s="182" t="s">
        <v>112</v>
      </c>
      <c r="Z14" s="182" t="s">
        <v>331</v>
      </c>
      <c r="AA14" s="183" t="s">
        <v>334</v>
      </c>
    </row>
    <row r="15">
      <c r="A15" s="44" t="s">
        <v>51</v>
      </c>
      <c r="B15" s="181" t="s">
        <v>327</v>
      </c>
      <c r="C15" s="181" t="s">
        <v>327</v>
      </c>
      <c r="D15" s="182" t="s">
        <v>331</v>
      </c>
      <c r="E15" s="183" t="s">
        <v>336</v>
      </c>
      <c r="F15" s="183" t="s">
        <v>334</v>
      </c>
      <c r="G15" s="182" t="s">
        <v>329</v>
      </c>
      <c r="H15" s="183" t="s">
        <v>112</v>
      </c>
      <c r="I15" s="182" t="s">
        <v>112</v>
      </c>
      <c r="J15" s="183" t="s">
        <v>330</v>
      </c>
      <c r="K15" s="183" t="s">
        <v>333</v>
      </c>
      <c r="L15" s="183" t="s">
        <v>335</v>
      </c>
      <c r="M15" s="182" t="s">
        <v>331</v>
      </c>
      <c r="N15" s="183" t="s">
        <v>2</v>
      </c>
      <c r="O15" s="183" t="s">
        <v>2</v>
      </c>
      <c r="P15" s="183" t="s">
        <v>338</v>
      </c>
      <c r="Q15" s="183" t="s">
        <v>332</v>
      </c>
      <c r="R15" s="183" t="s">
        <v>333</v>
      </c>
      <c r="S15" s="183" t="s">
        <v>337</v>
      </c>
      <c r="T15" s="183" t="s">
        <v>334</v>
      </c>
      <c r="U15" s="183" t="s">
        <v>331</v>
      </c>
      <c r="V15" s="182" t="s">
        <v>328</v>
      </c>
      <c r="W15" s="183" t="s">
        <v>328</v>
      </c>
      <c r="X15" s="182" t="s">
        <v>3</v>
      </c>
      <c r="Y15" s="183" t="s">
        <v>3</v>
      </c>
      <c r="Z15" s="183" t="s">
        <v>331</v>
      </c>
      <c r="AA15" s="183" t="s">
        <v>330</v>
      </c>
    </row>
    <row r="16">
      <c r="A16" s="44" t="s">
        <v>61</v>
      </c>
      <c r="B16" s="181" t="s">
        <v>327</v>
      </c>
      <c r="C16" s="181" t="s">
        <v>327</v>
      </c>
      <c r="D16" s="183" t="s">
        <v>338</v>
      </c>
      <c r="E16" s="182" t="s">
        <v>329</v>
      </c>
      <c r="F16" s="183" t="s">
        <v>333</v>
      </c>
      <c r="G16" s="182" t="s">
        <v>330</v>
      </c>
      <c r="H16" s="183" t="s">
        <v>332</v>
      </c>
      <c r="I16" s="183" t="s">
        <v>331</v>
      </c>
      <c r="J16" s="183" t="s">
        <v>112</v>
      </c>
      <c r="K16" s="182" t="s">
        <v>112</v>
      </c>
      <c r="L16" s="182" t="s">
        <v>328</v>
      </c>
      <c r="M16" s="183" t="s">
        <v>328</v>
      </c>
      <c r="N16" s="183" t="s">
        <v>334</v>
      </c>
      <c r="O16" s="183" t="s">
        <v>336</v>
      </c>
      <c r="P16" s="184" t="s">
        <v>2</v>
      </c>
      <c r="Q16" s="184" t="s">
        <v>2</v>
      </c>
      <c r="R16" s="183" t="s">
        <v>331</v>
      </c>
      <c r="S16" s="183" t="s">
        <v>333</v>
      </c>
      <c r="T16" s="183" t="s">
        <v>330</v>
      </c>
      <c r="U16" s="183" t="s">
        <v>331</v>
      </c>
      <c r="V16" s="183" t="s">
        <v>3</v>
      </c>
      <c r="W16" s="183" t="s">
        <v>3</v>
      </c>
      <c r="X16" s="183" t="s">
        <v>334</v>
      </c>
      <c r="Y16" s="183" t="s">
        <v>335</v>
      </c>
      <c r="Z16" s="183" t="s">
        <v>337</v>
      </c>
      <c r="AA16" s="183" t="s">
        <v>331</v>
      </c>
    </row>
    <row r="17">
      <c r="A17" s="44" t="s">
        <v>73</v>
      </c>
      <c r="B17" s="181" t="s">
        <v>327</v>
      </c>
      <c r="C17" s="181" t="s">
        <v>327</v>
      </c>
      <c r="D17" s="182" t="s">
        <v>329</v>
      </c>
      <c r="E17" s="182" t="s">
        <v>332</v>
      </c>
      <c r="F17" s="182" t="s">
        <v>328</v>
      </c>
      <c r="G17" s="183" t="s">
        <v>328</v>
      </c>
      <c r="H17" s="183" t="s">
        <v>2</v>
      </c>
      <c r="I17" s="183" t="s">
        <v>2</v>
      </c>
      <c r="J17" s="183" t="s">
        <v>331</v>
      </c>
      <c r="K17" s="183" t="s">
        <v>335</v>
      </c>
      <c r="L17" s="183" t="s">
        <v>334</v>
      </c>
      <c r="M17" s="183" t="s">
        <v>331</v>
      </c>
      <c r="N17" s="183" t="s">
        <v>330</v>
      </c>
      <c r="O17" s="183" t="s">
        <v>331</v>
      </c>
      <c r="P17" s="183" t="s">
        <v>112</v>
      </c>
      <c r="Q17" s="182" t="s">
        <v>112</v>
      </c>
      <c r="R17" s="183" t="s">
        <v>334</v>
      </c>
      <c r="S17" s="183" t="s">
        <v>331</v>
      </c>
      <c r="T17" s="183" t="s">
        <v>3</v>
      </c>
      <c r="U17" s="183" t="s">
        <v>3</v>
      </c>
      <c r="V17" s="183" t="s">
        <v>333</v>
      </c>
      <c r="W17" s="183" t="s">
        <v>330</v>
      </c>
      <c r="X17" s="183" t="s">
        <v>338</v>
      </c>
      <c r="Y17" s="183" t="s">
        <v>336</v>
      </c>
      <c r="Z17" s="183" t="s">
        <v>333</v>
      </c>
      <c r="AA17" s="183" t="s">
        <v>337</v>
      </c>
    </row>
    <row r="18">
      <c r="A18" s="44" t="s">
        <v>344</v>
      </c>
      <c r="B18" s="181" t="s">
        <v>327</v>
      </c>
      <c r="C18" s="181" t="s">
        <v>327</v>
      </c>
      <c r="D18" s="183" t="s">
        <v>333</v>
      </c>
      <c r="E18" s="183" t="s">
        <v>334</v>
      </c>
      <c r="F18" s="183" t="s">
        <v>3</v>
      </c>
      <c r="G18" s="183" t="s">
        <v>3</v>
      </c>
      <c r="H18" s="183" t="s">
        <v>331</v>
      </c>
      <c r="I18" s="183" t="s">
        <v>335</v>
      </c>
      <c r="J18" s="183" t="s">
        <v>2</v>
      </c>
      <c r="K18" s="183" t="s">
        <v>2</v>
      </c>
      <c r="L18" s="182" t="s">
        <v>330</v>
      </c>
      <c r="M18" s="183" t="s">
        <v>334</v>
      </c>
      <c r="N18" s="183" t="s">
        <v>331</v>
      </c>
      <c r="O18" s="183" t="s">
        <v>329</v>
      </c>
      <c r="P18" s="183" t="s">
        <v>333</v>
      </c>
      <c r="Q18" s="182" t="s">
        <v>336</v>
      </c>
      <c r="R18" s="182" t="s">
        <v>330</v>
      </c>
      <c r="S18" s="183" t="s">
        <v>338</v>
      </c>
      <c r="T18" s="183" t="s">
        <v>112</v>
      </c>
      <c r="U18" s="182" t="s">
        <v>112</v>
      </c>
      <c r="V18" s="183" t="s">
        <v>337</v>
      </c>
      <c r="W18" s="182" t="s">
        <v>331</v>
      </c>
      <c r="X18" s="182" t="s">
        <v>328</v>
      </c>
      <c r="Y18" s="183" t="s">
        <v>328</v>
      </c>
      <c r="Z18" s="183" t="s">
        <v>331</v>
      </c>
      <c r="AA18" s="183" t="s">
        <v>332</v>
      </c>
    </row>
    <row r="19">
      <c r="A19" s="44" t="s">
        <v>56</v>
      </c>
      <c r="B19" s="181" t="s">
        <v>327</v>
      </c>
      <c r="C19" s="181" t="s">
        <v>327</v>
      </c>
      <c r="D19" s="183" t="s">
        <v>334</v>
      </c>
      <c r="E19" s="183" t="s">
        <v>331</v>
      </c>
      <c r="F19" s="183" t="s">
        <v>2</v>
      </c>
      <c r="G19" s="183" t="s">
        <v>2</v>
      </c>
      <c r="H19" s="183" t="s">
        <v>331</v>
      </c>
      <c r="I19" s="183" t="s">
        <v>334</v>
      </c>
      <c r="J19" s="183" t="s">
        <v>338</v>
      </c>
      <c r="K19" s="182" t="s">
        <v>331</v>
      </c>
      <c r="L19" s="183" t="s">
        <v>330</v>
      </c>
      <c r="M19" s="183" t="s">
        <v>329</v>
      </c>
      <c r="N19" s="182" t="s">
        <v>328</v>
      </c>
      <c r="O19" s="183" t="s">
        <v>328</v>
      </c>
      <c r="P19" s="183" t="s">
        <v>331</v>
      </c>
      <c r="Q19" s="183" t="s">
        <v>333</v>
      </c>
      <c r="R19" s="183" t="s">
        <v>333</v>
      </c>
      <c r="S19" s="183" t="s">
        <v>335</v>
      </c>
      <c r="T19" s="183" t="s">
        <v>332</v>
      </c>
      <c r="U19" s="183" t="s">
        <v>330</v>
      </c>
      <c r="V19" s="183" t="s">
        <v>112</v>
      </c>
      <c r="W19" s="182" t="s">
        <v>112</v>
      </c>
      <c r="X19" s="183" t="s">
        <v>336</v>
      </c>
      <c r="Y19" s="183" t="s">
        <v>337</v>
      </c>
      <c r="Z19" s="182" t="s">
        <v>3</v>
      </c>
      <c r="AA19" s="183" t="s">
        <v>3</v>
      </c>
    </row>
    <row r="20">
      <c r="A20" s="44" t="s">
        <v>345</v>
      </c>
      <c r="B20" s="181" t="s">
        <v>327</v>
      </c>
      <c r="C20" s="181" t="s">
        <v>327</v>
      </c>
      <c r="D20" s="183" t="s">
        <v>331</v>
      </c>
      <c r="E20" s="183" t="s">
        <v>338</v>
      </c>
      <c r="F20" s="183" t="s">
        <v>331</v>
      </c>
      <c r="G20" s="183" t="s">
        <v>334</v>
      </c>
      <c r="H20" s="183" t="s">
        <v>335</v>
      </c>
      <c r="I20" s="183" t="s">
        <v>331</v>
      </c>
      <c r="J20" s="183" t="s">
        <v>3</v>
      </c>
      <c r="K20" s="183" t="s">
        <v>3</v>
      </c>
      <c r="L20" s="183" t="s">
        <v>2</v>
      </c>
      <c r="M20" s="183" t="s">
        <v>2</v>
      </c>
      <c r="N20" s="183" t="s">
        <v>329</v>
      </c>
      <c r="O20" s="182" t="s">
        <v>330</v>
      </c>
      <c r="P20" s="183" t="s">
        <v>337</v>
      </c>
      <c r="Q20" s="183" t="s">
        <v>333</v>
      </c>
      <c r="R20" s="183" t="s">
        <v>112</v>
      </c>
      <c r="S20" s="182" t="s">
        <v>112</v>
      </c>
      <c r="T20" s="183" t="s">
        <v>331</v>
      </c>
      <c r="U20" s="183" t="s">
        <v>334</v>
      </c>
      <c r="V20" s="182" t="s">
        <v>336</v>
      </c>
      <c r="W20" s="183" t="s">
        <v>332</v>
      </c>
      <c r="X20" s="182" t="s">
        <v>330</v>
      </c>
      <c r="Y20" s="183" t="s">
        <v>333</v>
      </c>
      <c r="Z20" s="182" t="s">
        <v>328</v>
      </c>
      <c r="AA20" s="183" t="s">
        <v>328</v>
      </c>
    </row>
    <row r="21">
      <c r="A21" s="185"/>
      <c r="B21" s="186"/>
      <c r="C21" s="186"/>
      <c r="D21" s="186"/>
      <c r="E21" s="186"/>
      <c r="F21" s="186"/>
      <c r="G21" s="187"/>
      <c r="H21" s="187"/>
      <c r="I21" s="187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</row>
    <row r="22">
      <c r="B22" s="188" t="s">
        <v>346</v>
      </c>
      <c r="C22" s="189"/>
      <c r="D22" s="189"/>
      <c r="E22" s="189"/>
      <c r="F22" s="189"/>
      <c r="G22" s="190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B23" s="191" t="s">
        <v>347</v>
      </c>
      <c r="C23" s="156"/>
      <c r="D23" s="156"/>
      <c r="E23" s="156"/>
      <c r="F23" s="156"/>
      <c r="G23" s="157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B24" s="192" t="s">
        <v>348</v>
      </c>
      <c r="C24" s="156"/>
      <c r="D24" s="156"/>
      <c r="E24" s="156"/>
      <c r="F24" s="156"/>
      <c r="G24" s="157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B25" s="193" t="s">
        <v>349</v>
      </c>
      <c r="C25" s="156"/>
      <c r="D25" s="156"/>
      <c r="E25" s="156"/>
      <c r="F25" s="156"/>
      <c r="G25" s="157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B26" s="194" t="s">
        <v>350</v>
      </c>
      <c r="C26" s="156"/>
      <c r="D26" s="156"/>
      <c r="E26" s="156"/>
      <c r="F26" s="156"/>
      <c r="G26" s="157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B27" s="195" t="s">
        <v>351</v>
      </c>
      <c r="C27" s="156"/>
      <c r="D27" s="156"/>
      <c r="E27" s="156"/>
      <c r="F27" s="156"/>
      <c r="G27" s="157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B28" s="196" t="s">
        <v>352</v>
      </c>
      <c r="C28" s="156"/>
      <c r="D28" s="156"/>
      <c r="E28" s="156"/>
      <c r="F28" s="156"/>
      <c r="G28" s="157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B29" s="197" t="s">
        <v>353</v>
      </c>
      <c r="C29" s="156"/>
      <c r="D29" s="156"/>
      <c r="E29" s="156"/>
      <c r="F29" s="156"/>
      <c r="G29" s="157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B30" s="198" t="s">
        <v>354</v>
      </c>
      <c r="C30" s="156"/>
      <c r="D30" s="156"/>
      <c r="E30" s="156"/>
      <c r="F30" s="156"/>
      <c r="G30" s="157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B31" s="199" t="s">
        <v>355</v>
      </c>
      <c r="C31" s="156"/>
      <c r="D31" s="156"/>
      <c r="E31" s="156"/>
      <c r="F31" s="156"/>
      <c r="G31" s="157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B32" s="200" t="s">
        <v>356</v>
      </c>
      <c r="C32" s="156"/>
      <c r="D32" s="156"/>
      <c r="E32" s="156"/>
      <c r="F32" s="156"/>
      <c r="G32" s="157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B33" s="201" t="s">
        <v>357</v>
      </c>
      <c r="C33" s="156"/>
      <c r="D33" s="156"/>
      <c r="E33" s="156"/>
      <c r="F33" s="156"/>
      <c r="G33" s="157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B34" s="202" t="s">
        <v>358</v>
      </c>
      <c r="C34" s="156"/>
      <c r="D34" s="156"/>
      <c r="E34" s="156"/>
      <c r="F34" s="156"/>
      <c r="G34" s="157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B35" s="203" t="s">
        <v>359</v>
      </c>
      <c r="C35" s="156"/>
      <c r="D35" s="156"/>
      <c r="E35" s="156"/>
      <c r="F35" s="156"/>
      <c r="G35" s="157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B36" s="204" t="s">
        <v>360</v>
      </c>
      <c r="C36" s="156"/>
      <c r="D36" s="156"/>
      <c r="E36" s="156"/>
      <c r="F36" s="156"/>
      <c r="G36" s="157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B37" s="205" t="s">
        <v>361</v>
      </c>
      <c r="C37" s="156"/>
      <c r="D37" s="156"/>
      <c r="E37" s="156"/>
      <c r="F37" s="156"/>
      <c r="G37" s="157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</sheetData>
  <mergeCells count="16">
    <mergeCell ref="B22:G22"/>
    <mergeCell ref="B23:G23"/>
    <mergeCell ref="B24:G24"/>
    <mergeCell ref="B25:G25"/>
    <mergeCell ref="B26:G26"/>
    <mergeCell ref="B27:G27"/>
    <mergeCell ref="B28:G28"/>
    <mergeCell ref="B36:G36"/>
    <mergeCell ref="B37:G37"/>
    <mergeCell ref="B29:G29"/>
    <mergeCell ref="B30:G30"/>
    <mergeCell ref="B31:G31"/>
    <mergeCell ref="B32:G32"/>
    <mergeCell ref="B33:G33"/>
    <mergeCell ref="B34:G34"/>
    <mergeCell ref="B35:G35"/>
  </mergeCells>
  <conditionalFormatting sqref="D3:AA20">
    <cfRule type="cellIs" dxfId="16" priority="1" operator="equal">
      <formula>"MICU"</formula>
    </cfRule>
  </conditionalFormatting>
  <conditionalFormatting sqref="B1:AA20">
    <cfRule type="cellIs" dxfId="17" priority="2" operator="equal">
      <formula>"M"</formula>
    </cfRule>
  </conditionalFormatting>
  <conditionalFormatting sqref="B1:AA20">
    <cfRule type="cellIs" dxfId="18" priority="3" operator="equal">
      <formula>"BH"</formula>
    </cfRule>
  </conditionalFormatting>
  <conditionalFormatting sqref="B1:AA20">
    <cfRule type="cellIs" dxfId="19" priority="4" operator="equal">
      <formula>"PedB"</formula>
    </cfRule>
  </conditionalFormatting>
  <conditionalFormatting sqref="B1:AA20">
    <cfRule type="cellIs" dxfId="20" priority="5" operator="equal">
      <formula>"TH"</formula>
    </cfRule>
  </conditionalFormatting>
  <conditionalFormatting sqref="B1:AA20">
    <cfRule type="cellIs" dxfId="7" priority="6" operator="equal">
      <formula>"BK"</formula>
    </cfRule>
  </conditionalFormatting>
  <conditionalFormatting sqref="B1:AA20">
    <cfRule type="cellIs" dxfId="21" priority="7" operator="equal">
      <formula>"NICU"</formula>
    </cfRule>
  </conditionalFormatting>
  <conditionalFormatting sqref="B1:AA20">
    <cfRule type="cellIs" dxfId="22" priority="8" operator="equal">
      <formula>"SICU"</formula>
    </cfRule>
  </conditionalFormatting>
  <conditionalFormatting sqref="B1:AA20">
    <cfRule type="cellIs" dxfId="23" priority="9" operator="equal">
      <formula>"PSY"</formula>
    </cfRule>
  </conditionalFormatting>
  <conditionalFormatting sqref="B1:AA20">
    <cfRule type="cellIs" dxfId="24" priority="10" operator="equal">
      <formula>"T"</formula>
    </cfRule>
  </conditionalFormatting>
  <conditionalFormatting sqref="B1:AA20">
    <cfRule type="cellIs" dxfId="25" priority="11" operator="equal">
      <formula>"V"</formula>
    </cfRule>
  </conditionalFormatting>
  <conditionalFormatting sqref="B1:AA20">
    <cfRule type="cellIs" dxfId="26" priority="12" operator="equal">
      <formula>"PedT"</formula>
    </cfRule>
  </conditionalFormatting>
  <conditionalFormatting sqref="B1:AA20">
    <cfRule type="cellIs" dxfId="27" priority="13" operator="equal">
      <formula>"J"</formula>
    </cfRule>
  </conditionalFormatting>
  <conditionalFormatting sqref="B1:AA20">
    <cfRule type="cellIs" dxfId="28" priority="14" operator="equal">
      <formula>"AnUS"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21.0"/>
    <col customWidth="1" min="2" max="11" width="6.86"/>
    <col customWidth="1" min="12" max="17" width="6.57"/>
    <col customWidth="1" min="18" max="22" width="6.86"/>
    <col customWidth="1" min="23" max="26" width="6.57"/>
    <col customWidth="1" min="27" max="27" width="6.86"/>
  </cols>
  <sheetData>
    <row r="1">
      <c r="A1" s="206"/>
      <c r="B1" s="207" t="s">
        <v>300</v>
      </c>
      <c r="C1" s="208" t="s">
        <v>301</v>
      </c>
      <c r="D1" s="209" t="s">
        <v>302</v>
      </c>
      <c r="E1" s="210" t="s">
        <v>303</v>
      </c>
      <c r="F1" s="207" t="s">
        <v>304</v>
      </c>
      <c r="G1" s="208" t="s">
        <v>305</v>
      </c>
      <c r="H1" s="211" t="s">
        <v>306</v>
      </c>
      <c r="I1" s="212" t="s">
        <v>307</v>
      </c>
      <c r="J1" s="207" t="s">
        <v>308</v>
      </c>
      <c r="K1" s="208" t="s">
        <v>309</v>
      </c>
      <c r="L1" s="209" t="s">
        <v>310</v>
      </c>
      <c r="M1" s="210" t="s">
        <v>311</v>
      </c>
      <c r="N1" s="213" t="s">
        <v>312</v>
      </c>
      <c r="O1" s="214" t="s">
        <v>313</v>
      </c>
      <c r="P1" s="211" t="s">
        <v>314</v>
      </c>
      <c r="Q1" s="212" t="s">
        <v>315</v>
      </c>
      <c r="R1" s="213" t="s">
        <v>316</v>
      </c>
      <c r="S1" s="214" t="s">
        <v>317</v>
      </c>
      <c r="T1" s="210" t="s">
        <v>318</v>
      </c>
      <c r="U1" s="209" t="s">
        <v>319</v>
      </c>
      <c r="V1" s="214" t="s">
        <v>320</v>
      </c>
      <c r="W1" s="214" t="s">
        <v>321</v>
      </c>
      <c r="X1" s="211" t="s">
        <v>322</v>
      </c>
      <c r="Y1" s="210" t="s">
        <v>323</v>
      </c>
      <c r="Z1" s="213" t="s">
        <v>324</v>
      </c>
      <c r="AA1" s="214" t="s">
        <v>325</v>
      </c>
    </row>
    <row r="2">
      <c r="A2" s="215"/>
      <c r="B2" s="216">
        <v>44743.0</v>
      </c>
      <c r="C2" s="217">
        <v>45852.0</v>
      </c>
      <c r="D2" s="218">
        <v>45866.0</v>
      </c>
      <c r="E2" s="218">
        <v>45880.0</v>
      </c>
      <c r="F2" s="219">
        <v>45894.0</v>
      </c>
      <c r="G2" s="219">
        <v>45908.0</v>
      </c>
      <c r="H2" s="218">
        <v>45922.0</v>
      </c>
      <c r="I2" s="218">
        <v>45936.0</v>
      </c>
      <c r="J2" s="220">
        <v>45950.0</v>
      </c>
      <c r="K2" s="219">
        <v>45964.0</v>
      </c>
      <c r="L2" s="221">
        <v>45978.0</v>
      </c>
      <c r="M2" s="221">
        <v>45992.0</v>
      </c>
      <c r="N2" s="218">
        <v>46006.0</v>
      </c>
      <c r="O2" s="219">
        <v>46020.0</v>
      </c>
      <c r="P2" s="221">
        <v>45669.0</v>
      </c>
      <c r="Q2" s="221">
        <v>45683.0</v>
      </c>
      <c r="R2" s="222">
        <v>45697.0</v>
      </c>
      <c r="S2" s="222">
        <v>45711.0</v>
      </c>
      <c r="T2" s="218">
        <v>45725.0</v>
      </c>
      <c r="U2" s="218">
        <v>45739.0</v>
      </c>
      <c r="V2" s="222">
        <v>45753.0</v>
      </c>
      <c r="W2" s="218">
        <v>45767.0</v>
      </c>
      <c r="X2" s="221">
        <v>45781.0</v>
      </c>
      <c r="Y2" s="221">
        <v>45795.0</v>
      </c>
      <c r="Z2" s="222">
        <v>45809.0</v>
      </c>
      <c r="AA2" s="219">
        <v>45823.0</v>
      </c>
    </row>
    <row r="3">
      <c r="A3" s="54" t="s">
        <v>76</v>
      </c>
      <c r="B3" s="223" t="s">
        <v>362</v>
      </c>
      <c r="C3" s="224" t="s">
        <v>334</v>
      </c>
      <c r="D3" s="225" t="s">
        <v>203</v>
      </c>
      <c r="E3" s="225" t="s">
        <v>203</v>
      </c>
      <c r="F3" s="226" t="s">
        <v>362</v>
      </c>
      <c r="G3" s="227" t="s">
        <v>330</v>
      </c>
      <c r="H3" s="224" t="s">
        <v>334</v>
      </c>
      <c r="I3" s="223" t="s">
        <v>362</v>
      </c>
      <c r="J3" s="228" t="s">
        <v>338</v>
      </c>
      <c r="K3" s="226" t="s">
        <v>362</v>
      </c>
      <c r="L3" s="226" t="s">
        <v>362</v>
      </c>
      <c r="M3" s="229" t="s">
        <v>363</v>
      </c>
      <c r="N3" s="224" t="s">
        <v>334</v>
      </c>
      <c r="O3" s="230" t="s">
        <v>332</v>
      </c>
      <c r="P3" s="226" t="s">
        <v>362</v>
      </c>
      <c r="Q3" s="231" t="s">
        <v>364</v>
      </c>
      <c r="R3" s="226" t="s">
        <v>362</v>
      </c>
      <c r="S3" s="232" t="s">
        <v>336</v>
      </c>
      <c r="T3" s="226" t="s">
        <v>362</v>
      </c>
      <c r="U3" s="233" t="s">
        <v>330</v>
      </c>
      <c r="V3" s="234" t="s">
        <v>365</v>
      </c>
      <c r="W3" s="234" t="s">
        <v>365</v>
      </c>
      <c r="X3" s="226" t="s">
        <v>362</v>
      </c>
      <c r="Y3" s="226" t="s">
        <v>362</v>
      </c>
      <c r="Z3" s="235" t="s">
        <v>337</v>
      </c>
      <c r="AA3" s="226" t="s">
        <v>362</v>
      </c>
    </row>
    <row r="4">
      <c r="A4" s="54" t="s">
        <v>366</v>
      </c>
      <c r="B4" s="226" t="s">
        <v>362</v>
      </c>
      <c r="C4" s="223" t="s">
        <v>362</v>
      </c>
      <c r="D4" s="226" t="s">
        <v>362</v>
      </c>
      <c r="E4" s="226" t="s">
        <v>362</v>
      </c>
      <c r="F4" s="235" t="s">
        <v>337</v>
      </c>
      <c r="G4" s="224" t="s">
        <v>334</v>
      </c>
      <c r="H4" s="226" t="s">
        <v>362</v>
      </c>
      <c r="I4" s="229" t="s">
        <v>363</v>
      </c>
      <c r="J4" s="225" t="s">
        <v>203</v>
      </c>
      <c r="K4" s="225" t="s">
        <v>203</v>
      </c>
      <c r="L4" s="224" t="s">
        <v>334</v>
      </c>
      <c r="M4" s="230" t="s">
        <v>332</v>
      </c>
      <c r="N4" s="223" t="s">
        <v>362</v>
      </c>
      <c r="O4" s="223" t="s">
        <v>362</v>
      </c>
      <c r="P4" s="233" t="s">
        <v>330</v>
      </c>
      <c r="Q4" s="223" t="s">
        <v>362</v>
      </c>
      <c r="R4" s="232" t="s">
        <v>336</v>
      </c>
      <c r="S4" s="236" t="s">
        <v>334</v>
      </c>
      <c r="T4" s="237" t="s">
        <v>365</v>
      </c>
      <c r="U4" s="237" t="s">
        <v>365</v>
      </c>
      <c r="V4" s="226" t="s">
        <v>362</v>
      </c>
      <c r="W4" s="226" t="s">
        <v>362</v>
      </c>
      <c r="X4" s="223" t="s">
        <v>362</v>
      </c>
      <c r="Y4" s="238" t="s">
        <v>330</v>
      </c>
      <c r="Z4" s="228" t="s">
        <v>338</v>
      </c>
      <c r="AA4" s="231" t="s">
        <v>364</v>
      </c>
    </row>
    <row r="5">
      <c r="A5" s="61" t="s">
        <v>82</v>
      </c>
      <c r="B5" s="226" t="s">
        <v>362</v>
      </c>
      <c r="C5" s="226" t="s">
        <v>362</v>
      </c>
      <c r="D5" s="226" t="s">
        <v>362</v>
      </c>
      <c r="E5" s="224" t="s">
        <v>334</v>
      </c>
      <c r="F5" s="237" t="s">
        <v>365</v>
      </c>
      <c r="G5" s="234" t="s">
        <v>365</v>
      </c>
      <c r="H5" s="226" t="s">
        <v>362</v>
      </c>
      <c r="I5" s="226" t="s">
        <v>362</v>
      </c>
      <c r="J5" s="239" t="s">
        <v>363</v>
      </c>
      <c r="K5" s="224" t="s">
        <v>334</v>
      </c>
      <c r="L5" s="240" t="s">
        <v>203</v>
      </c>
      <c r="M5" s="225" t="s">
        <v>203</v>
      </c>
      <c r="N5" s="235" t="s">
        <v>337</v>
      </c>
      <c r="O5" s="231" t="s">
        <v>364</v>
      </c>
      <c r="P5" s="233" t="s">
        <v>330</v>
      </c>
      <c r="Q5" s="228" t="s">
        <v>338</v>
      </c>
      <c r="R5" s="226" t="s">
        <v>362</v>
      </c>
      <c r="S5" s="223" t="s">
        <v>362</v>
      </c>
      <c r="T5" s="226" t="s">
        <v>362</v>
      </c>
      <c r="U5" s="226" t="s">
        <v>362</v>
      </c>
      <c r="V5" s="230" t="s">
        <v>332</v>
      </c>
      <c r="W5" s="224" t="s">
        <v>334</v>
      </c>
      <c r="X5" s="226" t="s">
        <v>362</v>
      </c>
      <c r="Y5" s="232" t="s">
        <v>336</v>
      </c>
      <c r="Z5" s="233" t="s">
        <v>330</v>
      </c>
      <c r="AA5" s="223" t="s">
        <v>362</v>
      </c>
    </row>
    <row r="6">
      <c r="A6" s="54" t="s">
        <v>367</v>
      </c>
      <c r="B6" s="228" t="s">
        <v>338</v>
      </c>
      <c r="C6" s="235" t="s">
        <v>337</v>
      </c>
      <c r="D6" s="237" t="s">
        <v>365</v>
      </c>
      <c r="E6" s="237" t="s">
        <v>365</v>
      </c>
      <c r="F6" s="224" t="s">
        <v>334</v>
      </c>
      <c r="G6" s="226" t="s">
        <v>362</v>
      </c>
      <c r="H6" s="232" t="s">
        <v>336</v>
      </c>
      <c r="I6" s="226" t="s">
        <v>362</v>
      </c>
      <c r="J6" s="231" t="s">
        <v>364</v>
      </c>
      <c r="K6" s="226" t="s">
        <v>362</v>
      </c>
      <c r="L6" s="230" t="s">
        <v>332</v>
      </c>
      <c r="M6" s="223" t="s">
        <v>362</v>
      </c>
      <c r="N6" s="233" t="s">
        <v>330</v>
      </c>
      <c r="O6" s="223" t="s">
        <v>362</v>
      </c>
      <c r="P6" s="226" t="s">
        <v>362</v>
      </c>
      <c r="Q6" s="226" t="s">
        <v>362</v>
      </c>
      <c r="R6" s="225" t="s">
        <v>203</v>
      </c>
      <c r="S6" s="225" t="s">
        <v>203</v>
      </c>
      <c r="T6" s="224" t="s">
        <v>334</v>
      </c>
      <c r="U6" s="238" t="s">
        <v>330</v>
      </c>
      <c r="V6" s="226" t="s">
        <v>362</v>
      </c>
      <c r="W6" s="226" t="s">
        <v>362</v>
      </c>
      <c r="X6" s="229" t="s">
        <v>363</v>
      </c>
      <c r="Y6" s="224" t="s">
        <v>334</v>
      </c>
      <c r="Z6" s="223" t="s">
        <v>362</v>
      </c>
      <c r="AA6" s="226" t="s">
        <v>362</v>
      </c>
    </row>
    <row r="7">
      <c r="A7" s="54" t="s">
        <v>78</v>
      </c>
      <c r="B7" s="226" t="s">
        <v>362</v>
      </c>
      <c r="C7" s="241" t="s">
        <v>338</v>
      </c>
      <c r="D7" s="226" t="s">
        <v>362</v>
      </c>
      <c r="E7" s="224" t="s">
        <v>334</v>
      </c>
      <c r="F7" s="232" t="s">
        <v>336</v>
      </c>
      <c r="G7" s="235" t="s">
        <v>337</v>
      </c>
      <c r="H7" s="226" t="s">
        <v>362</v>
      </c>
      <c r="I7" s="223" t="s">
        <v>362</v>
      </c>
      <c r="J7" s="229" t="s">
        <v>363</v>
      </c>
      <c r="K7" s="226" t="s">
        <v>362</v>
      </c>
      <c r="L7" s="224" t="s">
        <v>334</v>
      </c>
      <c r="M7" s="231" t="s">
        <v>364</v>
      </c>
      <c r="N7" s="223" t="s">
        <v>362</v>
      </c>
      <c r="O7" s="226" t="s">
        <v>362</v>
      </c>
      <c r="P7" s="237" t="s">
        <v>365</v>
      </c>
      <c r="Q7" s="237" t="s">
        <v>365</v>
      </c>
      <c r="R7" s="226" t="s">
        <v>362</v>
      </c>
      <c r="S7" s="230" t="s">
        <v>332</v>
      </c>
      <c r="T7" s="226" t="s">
        <v>362</v>
      </c>
      <c r="U7" s="233" t="s">
        <v>330</v>
      </c>
      <c r="V7" s="224" t="s">
        <v>334</v>
      </c>
      <c r="W7" s="226" t="s">
        <v>362</v>
      </c>
      <c r="X7" s="225" t="s">
        <v>203</v>
      </c>
      <c r="Y7" s="240" t="s">
        <v>203</v>
      </c>
      <c r="Z7" s="223" t="s">
        <v>362</v>
      </c>
      <c r="AA7" s="233" t="s">
        <v>330</v>
      </c>
    </row>
    <row r="8">
      <c r="A8" s="54" t="s">
        <v>85</v>
      </c>
      <c r="B8" s="226" t="s">
        <v>362</v>
      </c>
      <c r="C8" s="226" t="s">
        <v>362</v>
      </c>
      <c r="D8" s="223" t="s">
        <v>362</v>
      </c>
      <c r="E8" s="230" t="s">
        <v>332</v>
      </c>
      <c r="F8" s="224" t="s">
        <v>334</v>
      </c>
      <c r="G8" s="226" t="s">
        <v>362</v>
      </c>
      <c r="H8" s="225" t="s">
        <v>203</v>
      </c>
      <c r="I8" s="240" t="s">
        <v>203</v>
      </c>
      <c r="J8" s="226" t="s">
        <v>362</v>
      </c>
      <c r="K8" s="229" t="s">
        <v>363</v>
      </c>
      <c r="L8" s="235" t="s">
        <v>337</v>
      </c>
      <c r="M8" s="226" t="s">
        <v>362</v>
      </c>
      <c r="N8" s="233" t="s">
        <v>330</v>
      </c>
      <c r="O8" s="242" t="s">
        <v>336</v>
      </c>
      <c r="P8" s="241" t="s">
        <v>338</v>
      </c>
      <c r="Q8" s="224" t="s">
        <v>334</v>
      </c>
      <c r="R8" s="226" t="s">
        <v>362</v>
      </c>
      <c r="S8" s="226" t="s">
        <v>362</v>
      </c>
      <c r="T8" s="237" t="s">
        <v>365</v>
      </c>
      <c r="U8" s="237" t="s">
        <v>365</v>
      </c>
      <c r="V8" s="233" t="s">
        <v>330</v>
      </c>
      <c r="W8" s="226" t="s">
        <v>362</v>
      </c>
      <c r="X8" s="231" t="s">
        <v>364</v>
      </c>
      <c r="Y8" s="226" t="s">
        <v>362</v>
      </c>
      <c r="Z8" s="224" t="s">
        <v>334</v>
      </c>
      <c r="AA8" s="226" t="s">
        <v>362</v>
      </c>
    </row>
    <row r="9">
      <c r="A9" s="61" t="s">
        <v>80</v>
      </c>
      <c r="B9" s="235" t="s">
        <v>337</v>
      </c>
      <c r="C9" s="226" t="s">
        <v>362</v>
      </c>
      <c r="D9" s="226" t="s">
        <v>362</v>
      </c>
      <c r="E9" s="226" t="s">
        <v>362</v>
      </c>
      <c r="F9" s="240" t="s">
        <v>203</v>
      </c>
      <c r="G9" s="225" t="s">
        <v>203</v>
      </c>
      <c r="H9" s="224" t="s">
        <v>334</v>
      </c>
      <c r="I9" s="243" t="s">
        <v>330</v>
      </c>
      <c r="J9" s="224" t="s">
        <v>334</v>
      </c>
      <c r="K9" s="239" t="s">
        <v>363</v>
      </c>
      <c r="L9" s="226" t="s">
        <v>362</v>
      </c>
      <c r="M9" s="226" t="s">
        <v>362</v>
      </c>
      <c r="N9" s="226" t="s">
        <v>362</v>
      </c>
      <c r="O9" s="226" t="s">
        <v>362</v>
      </c>
      <c r="P9" s="237" t="s">
        <v>365</v>
      </c>
      <c r="Q9" s="237" t="s">
        <v>365</v>
      </c>
      <c r="R9" s="226" t="s">
        <v>362</v>
      </c>
      <c r="S9" s="228" t="s">
        <v>338</v>
      </c>
      <c r="T9" s="231" t="s">
        <v>364</v>
      </c>
      <c r="U9" s="226" t="s">
        <v>362</v>
      </c>
      <c r="V9" s="226" t="s">
        <v>362</v>
      </c>
      <c r="W9" s="233" t="s">
        <v>330</v>
      </c>
      <c r="X9" s="242" t="s">
        <v>336</v>
      </c>
      <c r="Y9" s="226" t="s">
        <v>362</v>
      </c>
      <c r="Z9" s="230" t="s">
        <v>332</v>
      </c>
      <c r="AA9" s="224" t="s">
        <v>334</v>
      </c>
    </row>
    <row r="10">
      <c r="A10" s="54" t="s">
        <v>89</v>
      </c>
      <c r="B10" s="226" t="s">
        <v>362</v>
      </c>
      <c r="C10" s="224" t="s">
        <v>334</v>
      </c>
      <c r="D10" s="230" t="s">
        <v>332</v>
      </c>
      <c r="E10" s="244" t="s">
        <v>338</v>
      </c>
      <c r="F10" s="226" t="s">
        <v>362</v>
      </c>
      <c r="G10" s="226" t="s">
        <v>362</v>
      </c>
      <c r="H10" s="226" t="s">
        <v>362</v>
      </c>
      <c r="I10" s="245" t="s">
        <v>337</v>
      </c>
      <c r="J10" s="225" t="s">
        <v>203</v>
      </c>
      <c r="K10" s="225" t="s">
        <v>203</v>
      </c>
      <c r="L10" s="226" t="s">
        <v>362</v>
      </c>
      <c r="M10" s="233" t="s">
        <v>330</v>
      </c>
      <c r="N10" s="226" t="s">
        <v>362</v>
      </c>
      <c r="O10" s="224" t="s">
        <v>334</v>
      </c>
      <c r="P10" s="232" t="s">
        <v>336</v>
      </c>
      <c r="Q10" s="226" t="s">
        <v>362</v>
      </c>
      <c r="R10" s="223" t="s">
        <v>362</v>
      </c>
      <c r="S10" s="223" t="s">
        <v>362</v>
      </c>
      <c r="T10" s="229" t="s">
        <v>363</v>
      </c>
      <c r="U10" s="226" t="s">
        <v>362</v>
      </c>
      <c r="V10" s="233" t="s">
        <v>330</v>
      </c>
      <c r="W10" s="224" t="s">
        <v>334</v>
      </c>
      <c r="X10" s="226" t="s">
        <v>362</v>
      </c>
      <c r="Y10" s="231" t="s">
        <v>364</v>
      </c>
      <c r="Z10" s="237" t="s">
        <v>365</v>
      </c>
      <c r="AA10" s="237" t="s">
        <v>365</v>
      </c>
    </row>
    <row r="11">
      <c r="A11" s="54" t="s">
        <v>95</v>
      </c>
      <c r="B11" s="226" t="s">
        <v>362</v>
      </c>
      <c r="C11" s="243" t="s">
        <v>330</v>
      </c>
      <c r="D11" s="226" t="s">
        <v>362</v>
      </c>
      <c r="E11" s="226" t="s">
        <v>362</v>
      </c>
      <c r="F11" s="246" t="s">
        <v>362</v>
      </c>
      <c r="G11" s="226" t="s">
        <v>362</v>
      </c>
      <c r="H11" s="232" t="s">
        <v>336</v>
      </c>
      <c r="I11" s="224" t="s">
        <v>334</v>
      </c>
      <c r="J11" s="237" t="s">
        <v>365</v>
      </c>
      <c r="K11" s="237" t="s">
        <v>365</v>
      </c>
      <c r="L11" s="228" t="s">
        <v>338</v>
      </c>
      <c r="M11" s="224" t="s">
        <v>334</v>
      </c>
      <c r="N11" s="225" t="s">
        <v>203</v>
      </c>
      <c r="O11" s="225" t="s">
        <v>203</v>
      </c>
      <c r="P11" s="231" t="s">
        <v>364</v>
      </c>
      <c r="Q11" s="226" t="s">
        <v>362</v>
      </c>
      <c r="R11" s="239" t="s">
        <v>363</v>
      </c>
      <c r="S11" s="223" t="s">
        <v>362</v>
      </c>
      <c r="T11" s="226" t="s">
        <v>362</v>
      </c>
      <c r="U11" s="226" t="s">
        <v>362</v>
      </c>
      <c r="V11" s="233" t="s">
        <v>330</v>
      </c>
      <c r="W11" s="230" t="s">
        <v>332</v>
      </c>
      <c r="X11" s="224" t="s">
        <v>334</v>
      </c>
      <c r="Y11" s="226" t="s">
        <v>362</v>
      </c>
      <c r="Z11" s="226" t="s">
        <v>362</v>
      </c>
      <c r="AA11" s="235" t="s">
        <v>337</v>
      </c>
    </row>
    <row r="12">
      <c r="A12" s="54" t="s">
        <v>97</v>
      </c>
      <c r="B12" s="224" t="s">
        <v>334</v>
      </c>
      <c r="C12" s="226" t="s">
        <v>362</v>
      </c>
      <c r="D12" s="232" t="s">
        <v>336</v>
      </c>
      <c r="E12" s="226" t="s">
        <v>362</v>
      </c>
      <c r="F12" s="226" t="s">
        <v>362</v>
      </c>
      <c r="G12" s="247" t="s">
        <v>364</v>
      </c>
      <c r="H12" s="226" t="s">
        <v>362</v>
      </c>
      <c r="I12" s="243" t="s">
        <v>330</v>
      </c>
      <c r="J12" s="230" t="s">
        <v>332</v>
      </c>
      <c r="K12" s="224" t="s">
        <v>334</v>
      </c>
      <c r="L12" s="226" t="s">
        <v>362</v>
      </c>
      <c r="M12" s="226" t="s">
        <v>362</v>
      </c>
      <c r="N12" s="228" t="s">
        <v>338</v>
      </c>
      <c r="O12" s="226" t="s">
        <v>362</v>
      </c>
      <c r="P12" s="229" t="s">
        <v>363</v>
      </c>
      <c r="Q12" s="226" t="s">
        <v>362</v>
      </c>
      <c r="R12" s="245" t="s">
        <v>337</v>
      </c>
      <c r="S12" s="226" t="s">
        <v>362</v>
      </c>
      <c r="T12" s="225" t="s">
        <v>203</v>
      </c>
      <c r="U12" s="240" t="s">
        <v>203</v>
      </c>
      <c r="V12" s="224" t="s">
        <v>334</v>
      </c>
      <c r="W12" s="233" t="s">
        <v>330</v>
      </c>
      <c r="X12" s="237" t="s">
        <v>365</v>
      </c>
      <c r="Y12" s="237" t="s">
        <v>365</v>
      </c>
      <c r="Z12" s="226" t="s">
        <v>362</v>
      </c>
      <c r="AA12" s="226" t="s">
        <v>362</v>
      </c>
    </row>
    <row r="13">
      <c r="A13" s="54" t="s">
        <v>368</v>
      </c>
      <c r="B13" s="232" t="s">
        <v>336</v>
      </c>
      <c r="C13" s="226" t="s">
        <v>362</v>
      </c>
      <c r="D13" s="226" t="s">
        <v>362</v>
      </c>
      <c r="E13" s="229" t="s">
        <v>363</v>
      </c>
      <c r="F13" s="243" t="s">
        <v>330</v>
      </c>
      <c r="G13" s="226" t="s">
        <v>362</v>
      </c>
      <c r="H13" s="226" t="s">
        <v>362</v>
      </c>
      <c r="I13" s="226" t="s">
        <v>362</v>
      </c>
      <c r="J13" s="226" t="s">
        <v>362</v>
      </c>
      <c r="K13" s="228" t="s">
        <v>338</v>
      </c>
      <c r="L13" s="226" t="s">
        <v>362</v>
      </c>
      <c r="M13" s="245" t="s">
        <v>337</v>
      </c>
      <c r="N13" s="231" t="s">
        <v>364</v>
      </c>
      <c r="O13" s="226" t="s">
        <v>362</v>
      </c>
      <c r="P13" s="225" t="s">
        <v>203</v>
      </c>
      <c r="Q13" s="240" t="s">
        <v>203</v>
      </c>
      <c r="R13" s="237" t="s">
        <v>365</v>
      </c>
      <c r="S13" s="237" t="s">
        <v>365</v>
      </c>
      <c r="T13" s="224" t="s">
        <v>334</v>
      </c>
      <c r="U13" s="233" t="s">
        <v>330</v>
      </c>
      <c r="V13" s="226" t="s">
        <v>362</v>
      </c>
      <c r="W13" s="223" t="s">
        <v>362</v>
      </c>
      <c r="X13" s="224" t="s">
        <v>334</v>
      </c>
      <c r="Y13" s="230" t="s">
        <v>332</v>
      </c>
      <c r="Z13" s="223" t="s">
        <v>362</v>
      </c>
      <c r="AA13" s="224" t="s">
        <v>334</v>
      </c>
    </row>
    <row r="14">
      <c r="A14" s="61" t="s">
        <v>100</v>
      </c>
      <c r="B14" s="226" t="s">
        <v>362</v>
      </c>
      <c r="C14" s="232" t="s">
        <v>336</v>
      </c>
      <c r="D14" s="224" t="s">
        <v>334</v>
      </c>
      <c r="E14" s="227" t="s">
        <v>330</v>
      </c>
      <c r="F14" s="226" t="s">
        <v>362</v>
      </c>
      <c r="G14" s="226" t="s">
        <v>362</v>
      </c>
      <c r="H14" s="237" t="s">
        <v>365</v>
      </c>
      <c r="I14" s="237" t="s">
        <v>365</v>
      </c>
      <c r="J14" s="226" t="s">
        <v>362</v>
      </c>
      <c r="K14" s="226" t="s">
        <v>362</v>
      </c>
      <c r="L14" s="225" t="s">
        <v>203</v>
      </c>
      <c r="M14" s="225" t="s">
        <v>203</v>
      </c>
      <c r="N14" s="224" t="s">
        <v>334</v>
      </c>
      <c r="O14" s="235" t="s">
        <v>337</v>
      </c>
      <c r="P14" s="226" t="s">
        <v>362</v>
      </c>
      <c r="Q14" s="233" t="s">
        <v>330</v>
      </c>
      <c r="R14" s="228" t="s">
        <v>338</v>
      </c>
      <c r="S14" s="226" t="s">
        <v>362</v>
      </c>
      <c r="T14" s="226" t="s">
        <v>362</v>
      </c>
      <c r="U14" s="226" t="s">
        <v>362</v>
      </c>
      <c r="V14" s="226" t="s">
        <v>362</v>
      </c>
      <c r="W14" s="247" t="s">
        <v>364</v>
      </c>
      <c r="X14" s="248" t="s">
        <v>332</v>
      </c>
      <c r="Y14" s="224" t="s">
        <v>334</v>
      </c>
      <c r="Z14" s="229" t="s">
        <v>363</v>
      </c>
      <c r="AA14" s="226" t="s">
        <v>335</v>
      </c>
    </row>
    <row r="15">
      <c r="A15" s="61" t="s">
        <v>369</v>
      </c>
      <c r="B15" s="223" t="s">
        <v>362</v>
      </c>
      <c r="C15" s="223" t="s">
        <v>362</v>
      </c>
      <c r="D15" s="225" t="s">
        <v>203</v>
      </c>
      <c r="E15" s="225" t="s">
        <v>203</v>
      </c>
      <c r="F15" s="226" t="s">
        <v>362</v>
      </c>
      <c r="G15" s="230" t="s">
        <v>332</v>
      </c>
      <c r="H15" s="223" t="s">
        <v>362</v>
      </c>
      <c r="I15" s="226" t="s">
        <v>362</v>
      </c>
      <c r="J15" s="226" t="s">
        <v>362</v>
      </c>
      <c r="K15" s="235" t="s">
        <v>337</v>
      </c>
      <c r="L15" s="224" t="s">
        <v>334</v>
      </c>
      <c r="M15" s="226" t="s">
        <v>362</v>
      </c>
      <c r="N15" s="233" t="s">
        <v>330</v>
      </c>
      <c r="O15" s="224" t="s">
        <v>334</v>
      </c>
      <c r="P15" s="226" t="s">
        <v>362</v>
      </c>
      <c r="Q15" s="226" t="s">
        <v>362</v>
      </c>
      <c r="R15" s="231" t="s">
        <v>364</v>
      </c>
      <c r="S15" s="224" t="s">
        <v>334</v>
      </c>
      <c r="T15" s="229" t="s">
        <v>363</v>
      </c>
      <c r="U15" s="226" t="s">
        <v>362</v>
      </c>
      <c r="V15" s="233" t="s">
        <v>330</v>
      </c>
      <c r="W15" s="232" t="s">
        <v>336</v>
      </c>
      <c r="X15" s="237" t="s">
        <v>365</v>
      </c>
      <c r="Y15" s="237" t="s">
        <v>365</v>
      </c>
      <c r="Z15" s="226" t="s">
        <v>362</v>
      </c>
      <c r="AA15" s="228" t="s">
        <v>338</v>
      </c>
    </row>
    <row r="16">
      <c r="A16" s="54" t="s">
        <v>370</v>
      </c>
      <c r="B16" s="226" t="s">
        <v>362</v>
      </c>
      <c r="C16" s="226" t="s">
        <v>362</v>
      </c>
      <c r="D16" s="235" t="s">
        <v>337</v>
      </c>
      <c r="E16" s="226" t="s">
        <v>362</v>
      </c>
      <c r="F16" s="241" t="s">
        <v>338</v>
      </c>
      <c r="G16" s="223" t="s">
        <v>362</v>
      </c>
      <c r="H16" s="226" t="s">
        <v>362</v>
      </c>
      <c r="I16" s="224" t="s">
        <v>334</v>
      </c>
      <c r="J16" s="226" t="s">
        <v>362</v>
      </c>
      <c r="K16" s="232" t="s">
        <v>336</v>
      </c>
      <c r="L16" s="237" t="s">
        <v>365</v>
      </c>
      <c r="M16" s="237" t="s">
        <v>365</v>
      </c>
      <c r="N16" s="238" t="s">
        <v>330</v>
      </c>
      <c r="O16" s="226" t="s">
        <v>362</v>
      </c>
      <c r="P16" s="223" t="s">
        <v>362</v>
      </c>
      <c r="Q16" s="230" t="s">
        <v>332</v>
      </c>
      <c r="R16" s="224" t="s">
        <v>334</v>
      </c>
      <c r="S16" s="231" t="s">
        <v>364</v>
      </c>
      <c r="T16" s="223" t="s">
        <v>362</v>
      </c>
      <c r="U16" s="224" t="s">
        <v>334</v>
      </c>
      <c r="V16" s="225" t="s">
        <v>203</v>
      </c>
      <c r="W16" s="225" t="s">
        <v>203</v>
      </c>
      <c r="X16" s="239" t="s">
        <v>363</v>
      </c>
      <c r="Y16" s="226" t="s">
        <v>362</v>
      </c>
      <c r="Z16" s="233" t="s">
        <v>330</v>
      </c>
      <c r="AA16" s="226" t="s">
        <v>362</v>
      </c>
    </row>
    <row r="17">
      <c r="A17" s="61" t="s">
        <v>92</v>
      </c>
      <c r="B17" s="226" t="s">
        <v>362</v>
      </c>
      <c r="C17" s="226" t="s">
        <v>362</v>
      </c>
      <c r="D17" s="223" t="s">
        <v>362</v>
      </c>
      <c r="E17" s="223" t="s">
        <v>362</v>
      </c>
      <c r="F17" s="231" t="s">
        <v>364</v>
      </c>
      <c r="G17" s="224" t="s">
        <v>334</v>
      </c>
      <c r="H17" s="230" t="s">
        <v>332</v>
      </c>
      <c r="I17" s="223" t="s">
        <v>362</v>
      </c>
      <c r="J17" s="226" t="s">
        <v>362</v>
      </c>
      <c r="K17" s="243" t="s">
        <v>330</v>
      </c>
      <c r="L17" s="232" t="s">
        <v>336</v>
      </c>
      <c r="M17" s="224" t="s">
        <v>334</v>
      </c>
      <c r="N17" s="237" t="s">
        <v>365</v>
      </c>
      <c r="O17" s="237" t="s">
        <v>365</v>
      </c>
      <c r="P17" s="226" t="s">
        <v>362</v>
      </c>
      <c r="Q17" s="235" t="s">
        <v>337</v>
      </c>
      <c r="R17" s="226" t="s">
        <v>362</v>
      </c>
      <c r="S17" s="226" t="s">
        <v>362</v>
      </c>
      <c r="T17" s="233" t="s">
        <v>330</v>
      </c>
      <c r="U17" s="229" t="s">
        <v>363</v>
      </c>
      <c r="V17" s="224" t="s">
        <v>334</v>
      </c>
      <c r="W17" s="241" t="s">
        <v>338</v>
      </c>
      <c r="X17" s="226" t="s">
        <v>362</v>
      </c>
      <c r="Y17" s="226" t="s">
        <v>362</v>
      </c>
      <c r="Z17" s="225" t="s">
        <v>203</v>
      </c>
      <c r="AA17" s="225" t="s">
        <v>203</v>
      </c>
    </row>
    <row r="18">
      <c r="A18" s="61" t="s">
        <v>202</v>
      </c>
      <c r="B18" s="224" t="s">
        <v>334</v>
      </c>
      <c r="C18" s="226" t="s">
        <v>362</v>
      </c>
      <c r="D18" s="237" t="s">
        <v>365</v>
      </c>
      <c r="E18" s="237" t="s">
        <v>365</v>
      </c>
      <c r="F18" s="241" t="s">
        <v>338</v>
      </c>
      <c r="G18" s="232" t="s">
        <v>336</v>
      </c>
      <c r="H18" s="226" t="s">
        <v>362</v>
      </c>
      <c r="I18" s="226" t="s">
        <v>362</v>
      </c>
      <c r="J18" s="224" t="s">
        <v>334</v>
      </c>
      <c r="K18" s="226" t="s">
        <v>362</v>
      </c>
      <c r="L18" s="223" t="s">
        <v>362</v>
      </c>
      <c r="M18" s="226" t="s">
        <v>362</v>
      </c>
      <c r="N18" s="233" t="s">
        <v>330</v>
      </c>
      <c r="O18" s="223" t="s">
        <v>362</v>
      </c>
      <c r="P18" s="226" t="s">
        <v>362</v>
      </c>
      <c r="Q18" s="224" t="s">
        <v>334</v>
      </c>
      <c r="R18" s="225" t="s">
        <v>203</v>
      </c>
      <c r="S18" s="225" t="s">
        <v>203</v>
      </c>
      <c r="T18" s="235" t="s">
        <v>337</v>
      </c>
      <c r="U18" s="246" t="s">
        <v>362</v>
      </c>
      <c r="V18" s="247" t="s">
        <v>364</v>
      </c>
      <c r="W18" s="223" t="s">
        <v>362</v>
      </c>
      <c r="X18" s="226" t="s">
        <v>362</v>
      </c>
      <c r="Y18" s="233" t="s">
        <v>330</v>
      </c>
      <c r="Z18" s="239" t="s">
        <v>363</v>
      </c>
      <c r="AA18" s="230" t="s">
        <v>332</v>
      </c>
    </row>
    <row r="19">
      <c r="A19" s="61" t="s">
        <v>371</v>
      </c>
      <c r="B19" s="225" t="s">
        <v>203</v>
      </c>
      <c r="C19" s="225" t="s">
        <v>203</v>
      </c>
      <c r="D19" s="224" t="s">
        <v>334</v>
      </c>
      <c r="E19" s="235" t="s">
        <v>337</v>
      </c>
      <c r="F19" s="230" t="s">
        <v>332</v>
      </c>
      <c r="G19" s="226" t="s">
        <v>362</v>
      </c>
      <c r="H19" s="226" t="s">
        <v>362</v>
      </c>
      <c r="I19" s="228" t="s">
        <v>338</v>
      </c>
      <c r="J19" s="226" t="s">
        <v>362</v>
      </c>
      <c r="K19" s="226" t="s">
        <v>362</v>
      </c>
      <c r="L19" s="233" t="s">
        <v>330</v>
      </c>
      <c r="M19" s="226" t="s">
        <v>362</v>
      </c>
      <c r="N19" s="226" t="s">
        <v>362</v>
      </c>
      <c r="O19" s="226" t="s">
        <v>362</v>
      </c>
      <c r="P19" s="224" t="s">
        <v>334</v>
      </c>
      <c r="Q19" s="242" t="s">
        <v>336</v>
      </c>
      <c r="R19" s="234" t="s">
        <v>365</v>
      </c>
      <c r="S19" s="234" t="s">
        <v>365</v>
      </c>
      <c r="T19" s="226" t="s">
        <v>362</v>
      </c>
      <c r="U19" s="233" t="s">
        <v>330</v>
      </c>
      <c r="V19" s="223" t="s">
        <v>362</v>
      </c>
      <c r="W19" s="229" t="s">
        <v>363</v>
      </c>
      <c r="X19" s="226" t="s">
        <v>362</v>
      </c>
      <c r="Y19" s="226" t="s">
        <v>362</v>
      </c>
      <c r="Z19" s="231" t="s">
        <v>364</v>
      </c>
      <c r="AA19" s="224" t="s">
        <v>334</v>
      </c>
    </row>
    <row r="20">
      <c r="A20" s="54" t="s">
        <v>372</v>
      </c>
      <c r="B20" s="237" t="s">
        <v>365</v>
      </c>
      <c r="C20" s="237" t="s">
        <v>365</v>
      </c>
      <c r="D20" s="226" t="s">
        <v>362</v>
      </c>
      <c r="E20" s="226" t="s">
        <v>362</v>
      </c>
      <c r="F20" s="225" t="s">
        <v>203</v>
      </c>
      <c r="G20" s="225" t="s">
        <v>203</v>
      </c>
      <c r="H20" s="231" t="s">
        <v>364</v>
      </c>
      <c r="I20" s="227" t="s">
        <v>330</v>
      </c>
      <c r="J20" s="226" t="s">
        <v>362</v>
      </c>
      <c r="K20" s="226" t="s">
        <v>362</v>
      </c>
      <c r="L20" s="226" t="s">
        <v>362</v>
      </c>
      <c r="M20" s="232" t="s">
        <v>336</v>
      </c>
      <c r="N20" s="223" t="s">
        <v>362</v>
      </c>
      <c r="O20" s="246" t="s">
        <v>362</v>
      </c>
      <c r="P20" s="230" t="s">
        <v>332</v>
      </c>
      <c r="Q20" s="223" t="s">
        <v>362</v>
      </c>
      <c r="R20" s="229" t="s">
        <v>363</v>
      </c>
      <c r="S20" s="224" t="s">
        <v>334</v>
      </c>
      <c r="T20" s="241" t="s">
        <v>338</v>
      </c>
      <c r="U20" s="224" t="s">
        <v>334</v>
      </c>
      <c r="V20" s="233" t="s">
        <v>330</v>
      </c>
      <c r="W20" s="226" t="s">
        <v>362</v>
      </c>
      <c r="X20" s="235" t="s">
        <v>337</v>
      </c>
      <c r="Y20" s="224" t="s">
        <v>334</v>
      </c>
      <c r="Z20" s="226" t="s">
        <v>362</v>
      </c>
      <c r="AA20" s="226" t="s">
        <v>362</v>
      </c>
    </row>
    <row r="21">
      <c r="A21" s="249"/>
      <c r="B21" s="250"/>
      <c r="C21" s="250"/>
      <c r="D21" s="250"/>
      <c r="E21" s="250"/>
      <c r="F21" s="250"/>
      <c r="G21" s="251"/>
      <c r="H21" s="251"/>
      <c r="I21" s="251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1"/>
    </row>
    <row r="22">
      <c r="A22" s="252"/>
      <c r="B22" s="188" t="s">
        <v>346</v>
      </c>
      <c r="C22" s="189"/>
      <c r="D22" s="189"/>
      <c r="E22" s="189"/>
      <c r="F22" s="189"/>
      <c r="G22" s="190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</row>
    <row r="23">
      <c r="A23" s="215"/>
      <c r="B23" s="254" t="s">
        <v>373</v>
      </c>
      <c r="C23" s="156"/>
      <c r="D23" s="156"/>
      <c r="E23" s="156"/>
      <c r="F23" s="156"/>
      <c r="G23" s="157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>
      <c r="A24" s="215"/>
      <c r="B24" s="255" t="s">
        <v>350</v>
      </c>
      <c r="C24" s="156"/>
      <c r="D24" s="156"/>
      <c r="E24" s="156"/>
      <c r="F24" s="156"/>
      <c r="G24" s="157"/>
      <c r="H24" s="256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>
      <c r="A25" s="215"/>
      <c r="B25" s="257" t="s">
        <v>374</v>
      </c>
      <c r="C25" s="156"/>
      <c r="D25" s="156"/>
      <c r="E25" s="156"/>
      <c r="F25" s="156"/>
      <c r="G25" s="157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>
      <c r="A26" s="215"/>
      <c r="B26" s="258" t="s">
        <v>352</v>
      </c>
      <c r="C26" s="156"/>
      <c r="D26" s="156"/>
      <c r="E26" s="156"/>
      <c r="F26" s="156"/>
      <c r="G26" s="157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>
      <c r="A27" s="215"/>
      <c r="B27" s="259" t="s">
        <v>375</v>
      </c>
      <c r="C27" s="156"/>
      <c r="D27" s="156"/>
      <c r="E27" s="156"/>
      <c r="F27" s="156"/>
      <c r="G27" s="157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>
      <c r="A28" s="215"/>
      <c r="B28" s="260" t="s">
        <v>360</v>
      </c>
      <c r="C28" s="156"/>
      <c r="D28" s="156"/>
      <c r="E28" s="156"/>
      <c r="F28" s="156"/>
      <c r="G28" s="157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>
      <c r="A29" s="215"/>
      <c r="B29" s="261" t="s">
        <v>376</v>
      </c>
      <c r="C29" s="156"/>
      <c r="D29" s="156"/>
      <c r="E29" s="156"/>
      <c r="F29" s="156"/>
      <c r="G29" s="157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>
      <c r="A30" s="215"/>
      <c r="B30" s="262" t="s">
        <v>377</v>
      </c>
      <c r="C30" s="156"/>
      <c r="D30" s="156"/>
      <c r="E30" s="156"/>
      <c r="F30" s="156"/>
      <c r="G30" s="157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>
      <c r="A31" s="215"/>
      <c r="B31" s="263" t="s">
        <v>359</v>
      </c>
      <c r="C31" s="156"/>
      <c r="D31" s="156"/>
      <c r="E31" s="156"/>
      <c r="F31" s="156"/>
      <c r="G31" s="157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>
      <c r="A32" s="215"/>
      <c r="B32" s="264" t="s">
        <v>378</v>
      </c>
      <c r="C32" s="156"/>
      <c r="D32" s="156"/>
      <c r="E32" s="156"/>
      <c r="F32" s="156"/>
      <c r="G32" s="157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>
      <c r="A33" s="215"/>
      <c r="B33" s="265" t="s">
        <v>361</v>
      </c>
      <c r="C33" s="156"/>
      <c r="D33" s="156"/>
      <c r="E33" s="156"/>
      <c r="F33" s="156"/>
      <c r="G33" s="157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>
      <c r="A34" s="215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>
      <c r="A35" s="21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>
      <c r="A36" s="215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>
      <c r="A37" s="215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>
      <c r="A38" s="215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>
      <c r="A39" s="215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>
      <c r="A40" s="215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>
      <c r="A41" s="215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>
      <c r="A42" s="215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>
      <c r="A43" s="215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>
      <c r="A44" s="215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>
      <c r="A45" s="215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>
      <c r="A46" s="215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>
      <c r="A47" s="215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>
      <c r="A48" s="215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>
      <c r="A49" s="215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>
      <c r="A50" s="215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>
      <c r="A51" s="215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>
      <c r="A52" s="215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>
      <c r="A53" s="215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>
      <c r="A54" s="21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>
      <c r="A55" s="215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>
      <c r="A56" s="215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>
      <c r="A57" s="215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>
      <c r="A58" s="215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>
      <c r="A59" s="215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>
      <c r="A60" s="21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>
      <c r="A61" s="21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>
      <c r="A62" s="21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>
      <c r="A63" s="21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</row>
    <row r="64">
      <c r="A64" s="21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>
      <c r="A65" s="21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>
      <c r="A66" s="21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>
      <c r="A67" s="21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>
      <c r="A68" s="215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>
      <c r="A69" s="215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>
      <c r="A70" s="215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>
      <c r="A71" s="21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>
      <c r="A72" s="21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>
      <c r="A73" s="21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>
      <c r="A74" s="21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>
      <c r="A75" s="21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>
      <c r="A76" s="21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>
      <c r="A77" s="21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>
      <c r="A78" s="21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>
      <c r="A79" s="21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>
      <c r="A80" s="21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>
      <c r="A81" s="21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>
      <c r="A82" s="21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>
      <c r="A83" s="21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>
      <c r="A84" s="21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>
      <c r="A85" s="215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>
      <c r="A86" s="215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>
      <c r="A87" s="215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>
      <c r="A88" s="215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>
      <c r="A89" s="215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>
      <c r="A90" s="215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>
      <c r="A91" s="215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>
      <c r="A92" s="215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>
      <c r="A93" s="215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>
      <c r="A94" s="215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>
      <c r="A95" s="215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>
      <c r="A96" s="215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>
      <c r="A97" s="215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>
      <c r="A98" s="215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>
      <c r="A99" s="215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>
      <c r="A100" s="215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>
      <c r="A101" s="215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>
      <c r="A102" s="215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>
      <c r="A103" s="215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>
      <c r="A104" s="215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>
      <c r="A105" s="215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>
      <c r="A106" s="215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>
      <c r="A107" s="215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>
      <c r="A108" s="215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>
      <c r="A109" s="215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>
      <c r="A110" s="215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>
      <c r="A111" s="215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>
      <c r="A112" s="215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>
      <c r="A113" s="215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>
      <c r="A114" s="215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>
      <c r="A115" s="215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>
      <c r="A116" s="215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>
      <c r="A117" s="215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>
      <c r="A118" s="215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>
      <c r="A119" s="215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>
      <c r="A120" s="215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>
      <c r="A121" s="215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>
      <c r="A122" s="215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>
      <c r="A123" s="215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>
      <c r="A124" s="215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>
      <c r="A125" s="215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>
      <c r="A126" s="215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>
      <c r="A127" s="215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>
      <c r="A128" s="215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>
      <c r="A129" s="215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>
      <c r="A130" s="215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>
      <c r="A131" s="215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>
      <c r="A132" s="215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>
      <c r="A133" s="215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>
      <c r="A134" s="215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>
      <c r="A135" s="215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>
      <c r="A136" s="215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>
      <c r="A137" s="215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>
      <c r="A138" s="215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>
      <c r="A139" s="215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>
      <c r="A140" s="215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>
      <c r="A141" s="215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>
      <c r="A142" s="215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>
      <c r="A143" s="215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>
      <c r="A144" s="215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>
      <c r="A145" s="215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>
      <c r="A146" s="215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>
      <c r="A147" s="215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>
      <c r="A148" s="215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>
      <c r="A149" s="215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>
      <c r="A150" s="215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>
      <c r="A151" s="215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>
      <c r="A152" s="215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>
      <c r="A153" s="215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>
      <c r="A154" s="215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>
      <c r="A155" s="215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>
      <c r="A156" s="215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>
      <c r="A157" s="215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>
      <c r="A158" s="215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>
      <c r="A159" s="215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>
      <c r="A160" s="215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>
      <c r="A161" s="215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>
      <c r="A162" s="215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>
      <c r="A163" s="215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>
      <c r="A164" s="215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>
      <c r="A165" s="215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>
      <c r="A166" s="215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>
      <c r="A167" s="215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>
      <c r="A168" s="215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>
      <c r="A169" s="215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>
      <c r="A170" s="215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>
      <c r="A171" s="215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>
      <c r="A172" s="215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>
      <c r="A173" s="215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>
      <c r="A174" s="215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>
      <c r="A175" s="215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>
      <c r="A176" s="215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>
      <c r="A177" s="215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>
      <c r="A178" s="215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>
      <c r="A179" s="215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>
      <c r="A180" s="215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>
      <c r="A181" s="215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>
      <c r="A182" s="215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>
      <c r="A183" s="215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>
      <c r="A184" s="215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>
      <c r="A185" s="215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>
      <c r="A186" s="215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>
      <c r="A187" s="215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>
      <c r="A188" s="215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>
      <c r="A189" s="215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>
      <c r="A190" s="215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>
      <c r="A191" s="215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>
      <c r="A192" s="215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>
      <c r="A193" s="215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>
      <c r="A194" s="215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>
      <c r="A195" s="215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>
      <c r="A196" s="215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>
      <c r="A197" s="215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>
      <c r="A198" s="215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>
      <c r="A199" s="215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>
      <c r="A200" s="215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>
      <c r="A201" s="215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>
      <c r="A202" s="215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>
      <c r="A203" s="215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>
      <c r="A204" s="215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>
      <c r="A205" s="215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>
      <c r="A206" s="215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>
      <c r="A207" s="215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>
      <c r="A208" s="215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>
      <c r="A209" s="215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>
      <c r="A210" s="215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>
      <c r="A211" s="215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>
      <c r="A212" s="215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>
      <c r="A213" s="215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>
      <c r="A214" s="215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>
      <c r="A215" s="215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>
      <c r="A216" s="215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>
      <c r="A217" s="215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>
      <c r="A218" s="215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>
      <c r="A219" s="215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>
      <c r="A220" s="215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>
      <c r="A221" s="215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>
      <c r="A222" s="215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>
      <c r="A223" s="215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>
      <c r="A224" s="215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>
      <c r="A225" s="215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>
      <c r="A226" s="215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>
      <c r="A227" s="215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>
      <c r="A228" s="215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>
      <c r="A229" s="215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>
      <c r="A230" s="215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>
      <c r="A231" s="215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>
      <c r="A232" s="215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>
      <c r="A233" s="215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>
      <c r="A234" s="215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>
      <c r="A235" s="215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>
      <c r="A236" s="215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>
      <c r="A237" s="215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>
      <c r="A238" s="215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>
      <c r="A239" s="215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>
      <c r="A240" s="215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>
      <c r="A241" s="215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>
      <c r="A242" s="215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>
      <c r="A243" s="215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>
      <c r="A244" s="215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>
      <c r="A245" s="215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>
      <c r="A246" s="215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>
      <c r="A247" s="215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>
      <c r="A248" s="215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>
      <c r="A249" s="215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>
      <c r="A250" s="215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>
      <c r="A251" s="215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>
      <c r="A252" s="215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>
      <c r="A253" s="215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>
      <c r="A254" s="215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>
      <c r="A255" s="215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>
      <c r="A256" s="215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>
      <c r="A257" s="215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>
      <c r="A258" s="215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>
      <c r="A259" s="215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>
      <c r="A260" s="215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>
      <c r="A261" s="215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>
      <c r="A262" s="215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>
      <c r="A263" s="215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>
      <c r="A264" s="215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>
      <c r="A265" s="215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>
      <c r="A266" s="215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>
      <c r="A267" s="215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>
      <c r="A268" s="215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>
      <c r="A269" s="215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>
      <c r="A270" s="215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>
      <c r="A271" s="215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>
      <c r="A272" s="215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>
      <c r="A273" s="215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>
      <c r="A274" s="215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>
      <c r="A275" s="215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>
      <c r="A276" s="215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>
      <c r="A277" s="215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>
      <c r="A278" s="215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>
      <c r="A279" s="215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>
      <c r="A280" s="215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>
      <c r="A281" s="215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>
      <c r="A282" s="215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>
      <c r="A283" s="215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>
      <c r="A284" s="215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>
      <c r="A285" s="215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>
      <c r="A286" s="215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>
      <c r="A287" s="215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>
      <c r="A288" s="215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>
      <c r="A289" s="215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>
      <c r="A290" s="215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>
      <c r="A291" s="215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>
      <c r="A292" s="215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>
      <c r="A293" s="215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>
      <c r="A294" s="215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>
      <c r="A295" s="215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>
      <c r="A296" s="215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>
      <c r="A297" s="215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>
      <c r="A298" s="215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>
      <c r="A299" s="215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>
      <c r="A300" s="215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>
      <c r="A301" s="215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>
      <c r="A302" s="215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>
      <c r="A303" s="215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>
      <c r="A304" s="215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>
      <c r="A305" s="215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>
      <c r="A306" s="215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>
      <c r="A307" s="215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>
      <c r="A308" s="215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>
      <c r="A309" s="215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>
      <c r="A310" s="215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>
      <c r="A311" s="215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>
      <c r="A312" s="215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>
      <c r="A313" s="215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>
      <c r="A314" s="215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>
      <c r="A315" s="215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>
      <c r="A316" s="215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>
      <c r="A317" s="215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>
      <c r="A318" s="215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>
      <c r="A319" s="215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>
      <c r="A320" s="215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>
      <c r="A321" s="215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>
      <c r="A322" s="215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>
      <c r="A323" s="215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>
      <c r="A324" s="215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>
      <c r="A325" s="215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>
      <c r="A326" s="215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>
      <c r="A327" s="215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>
      <c r="A328" s="215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>
      <c r="A329" s="215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>
      <c r="A330" s="215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>
      <c r="A331" s="215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>
      <c r="A332" s="215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>
      <c r="A333" s="215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>
      <c r="A334" s="215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>
      <c r="A335" s="215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>
      <c r="A336" s="215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>
      <c r="A337" s="215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>
      <c r="A338" s="215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>
      <c r="A339" s="215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>
      <c r="A340" s="215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>
      <c r="A341" s="215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>
      <c r="A342" s="215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>
      <c r="A343" s="215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>
      <c r="A344" s="215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>
      <c r="A345" s="215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>
      <c r="A346" s="215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>
      <c r="A347" s="215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>
      <c r="A348" s="215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>
      <c r="A349" s="215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>
      <c r="A350" s="215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>
      <c r="A351" s="215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>
      <c r="A352" s="215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>
      <c r="A353" s="215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>
      <c r="A354" s="215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>
      <c r="A355" s="215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>
      <c r="A356" s="215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>
      <c r="A357" s="215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>
      <c r="A358" s="215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>
      <c r="A359" s="215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>
      <c r="A360" s="215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>
      <c r="A361" s="215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>
      <c r="A362" s="215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>
      <c r="A363" s="215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>
      <c r="A364" s="215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>
      <c r="A365" s="215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>
      <c r="A366" s="215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>
      <c r="A367" s="215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>
      <c r="A368" s="215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>
      <c r="A369" s="215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>
      <c r="A370" s="215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>
      <c r="A371" s="215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>
      <c r="A372" s="215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>
      <c r="A373" s="215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>
      <c r="A374" s="215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>
      <c r="A375" s="215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>
      <c r="A376" s="215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>
      <c r="A377" s="215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>
      <c r="A378" s="215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>
      <c r="A379" s="215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>
      <c r="A380" s="215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>
      <c r="A381" s="215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>
      <c r="A382" s="215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>
      <c r="A383" s="215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>
      <c r="A384" s="215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>
      <c r="A385" s="215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>
      <c r="A386" s="215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>
      <c r="A387" s="215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>
      <c r="A388" s="215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>
      <c r="A389" s="215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>
      <c r="A390" s="215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>
      <c r="A391" s="215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>
      <c r="A392" s="215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>
      <c r="A393" s="215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>
      <c r="A394" s="215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>
      <c r="A395" s="215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>
      <c r="A396" s="215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>
      <c r="A397" s="215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>
      <c r="A398" s="215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>
      <c r="A399" s="215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>
      <c r="A400" s="215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>
      <c r="A401" s="215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>
      <c r="A402" s="215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>
      <c r="A403" s="215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>
      <c r="A404" s="215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>
      <c r="A405" s="215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>
      <c r="A406" s="215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>
      <c r="A407" s="215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>
      <c r="A408" s="215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>
      <c r="A409" s="215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>
      <c r="A410" s="215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>
      <c r="A411" s="215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>
      <c r="A412" s="215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>
      <c r="A413" s="215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>
      <c r="A414" s="215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>
      <c r="A415" s="215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>
      <c r="A416" s="215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>
      <c r="A417" s="215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>
      <c r="A418" s="215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>
      <c r="A419" s="215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>
      <c r="A420" s="215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>
      <c r="A421" s="215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>
      <c r="A422" s="215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>
      <c r="A423" s="215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>
      <c r="A424" s="215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>
      <c r="A425" s="215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>
      <c r="A426" s="215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>
      <c r="A427" s="215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>
      <c r="A428" s="215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>
      <c r="A429" s="215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>
      <c r="A430" s="215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>
      <c r="A431" s="215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>
      <c r="A432" s="215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>
      <c r="A433" s="215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>
      <c r="A434" s="215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>
      <c r="A435" s="215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>
      <c r="A436" s="215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>
      <c r="A437" s="215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>
      <c r="A438" s="215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>
      <c r="A439" s="215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>
      <c r="A440" s="215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>
      <c r="A441" s="215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>
      <c r="A442" s="215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>
      <c r="A443" s="215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>
      <c r="A444" s="215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>
      <c r="A445" s="215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>
      <c r="A446" s="215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>
      <c r="A447" s="215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>
      <c r="A448" s="215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>
      <c r="A449" s="215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>
      <c r="A450" s="215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>
      <c r="A451" s="215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>
      <c r="A452" s="215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>
      <c r="A453" s="215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>
      <c r="A454" s="215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>
      <c r="A455" s="215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>
      <c r="A456" s="215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>
      <c r="A457" s="215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>
      <c r="A458" s="215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>
      <c r="A459" s="215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>
      <c r="A460" s="215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>
      <c r="A461" s="215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>
      <c r="A462" s="215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>
      <c r="A463" s="215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>
      <c r="A464" s="215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>
      <c r="A465" s="215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>
      <c r="A466" s="215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>
      <c r="A467" s="215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>
      <c r="A468" s="215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>
      <c r="A469" s="215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>
      <c r="A470" s="215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>
      <c r="A471" s="215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>
      <c r="A472" s="215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>
      <c r="A473" s="215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>
      <c r="A474" s="215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>
      <c r="A475" s="215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>
      <c r="A476" s="215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>
      <c r="A477" s="215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>
      <c r="A478" s="215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>
      <c r="A479" s="215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>
      <c r="A480" s="215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>
      <c r="A481" s="215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>
      <c r="A482" s="215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>
      <c r="A483" s="215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>
      <c r="A484" s="215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>
      <c r="A485" s="215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>
      <c r="A486" s="215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>
      <c r="A487" s="215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>
      <c r="A488" s="215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>
      <c r="A489" s="215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>
      <c r="A490" s="215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>
      <c r="A491" s="215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>
      <c r="A492" s="215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>
      <c r="A493" s="215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>
      <c r="A494" s="215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>
      <c r="A495" s="215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>
      <c r="A496" s="215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>
      <c r="A497" s="215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>
      <c r="A498" s="215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>
      <c r="A499" s="215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>
      <c r="A500" s="215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>
      <c r="A501" s="215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>
      <c r="A502" s="215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>
      <c r="A503" s="215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>
      <c r="A504" s="215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>
      <c r="A505" s="215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>
      <c r="A506" s="215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>
      <c r="A507" s="215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>
      <c r="A508" s="215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>
      <c r="A509" s="215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>
      <c r="A510" s="215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>
      <c r="A511" s="215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>
      <c r="A512" s="215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>
      <c r="A513" s="215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>
      <c r="A514" s="215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>
      <c r="A515" s="215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>
      <c r="A516" s="215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>
      <c r="A517" s="215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>
      <c r="A518" s="215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>
      <c r="A519" s="215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>
      <c r="A520" s="215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>
      <c r="A521" s="215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>
      <c r="A522" s="215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>
      <c r="A523" s="215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>
      <c r="A524" s="215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>
      <c r="A525" s="215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>
      <c r="A526" s="215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>
      <c r="A527" s="215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>
      <c r="A528" s="215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>
      <c r="A529" s="215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>
      <c r="A530" s="215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>
      <c r="A531" s="215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>
      <c r="A532" s="215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>
      <c r="A533" s="215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>
      <c r="A534" s="215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>
      <c r="A535" s="215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>
      <c r="A536" s="215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>
      <c r="A537" s="215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>
      <c r="A538" s="215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>
      <c r="A539" s="215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>
      <c r="A540" s="215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>
      <c r="A541" s="215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>
      <c r="A542" s="215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>
      <c r="A543" s="215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>
      <c r="A544" s="215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>
      <c r="A545" s="215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>
      <c r="A546" s="215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>
      <c r="A547" s="215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>
      <c r="A548" s="215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>
      <c r="A549" s="215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>
      <c r="A550" s="215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>
      <c r="A551" s="215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>
      <c r="A552" s="215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>
      <c r="A553" s="215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>
      <c r="A554" s="215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>
      <c r="A555" s="215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>
      <c r="A556" s="215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>
      <c r="A557" s="215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>
      <c r="A558" s="215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>
      <c r="A559" s="215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>
      <c r="A560" s="215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>
      <c r="A561" s="215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>
      <c r="A562" s="215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>
      <c r="A563" s="215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>
      <c r="A564" s="215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>
      <c r="A565" s="215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>
      <c r="A566" s="215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>
      <c r="A567" s="215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>
      <c r="A568" s="215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>
      <c r="A569" s="215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>
      <c r="A570" s="215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>
      <c r="A571" s="215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>
      <c r="A572" s="215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>
      <c r="A573" s="215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>
      <c r="A574" s="215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>
      <c r="A575" s="215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>
      <c r="A576" s="215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>
      <c r="A577" s="215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>
      <c r="A578" s="215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>
      <c r="A579" s="215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>
      <c r="A580" s="215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>
      <c r="A581" s="215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>
      <c r="A582" s="215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>
      <c r="A583" s="215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>
      <c r="A584" s="215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>
      <c r="A585" s="215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>
      <c r="A586" s="215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>
      <c r="A587" s="215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>
      <c r="A588" s="215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>
      <c r="A589" s="215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>
      <c r="A590" s="215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>
      <c r="A591" s="215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>
      <c r="A592" s="215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>
      <c r="A593" s="215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>
      <c r="A594" s="215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>
      <c r="A595" s="215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>
      <c r="A596" s="215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>
      <c r="A597" s="215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>
      <c r="A598" s="215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>
      <c r="A599" s="215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>
      <c r="A600" s="215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>
      <c r="A601" s="215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>
      <c r="A602" s="215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>
      <c r="A603" s="215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>
      <c r="A604" s="215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>
      <c r="A605" s="215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>
      <c r="A606" s="215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>
      <c r="A607" s="215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>
      <c r="A608" s="215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>
      <c r="A609" s="215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>
      <c r="A610" s="215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>
      <c r="A611" s="215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>
      <c r="A612" s="215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>
      <c r="A613" s="215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>
      <c r="A614" s="215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>
      <c r="A615" s="215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>
      <c r="A616" s="215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>
      <c r="A617" s="215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>
      <c r="A618" s="215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>
      <c r="A619" s="215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>
      <c r="A620" s="215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>
      <c r="A621" s="215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>
      <c r="A622" s="215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>
      <c r="A623" s="215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>
      <c r="A624" s="215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>
      <c r="A625" s="215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>
      <c r="A626" s="215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>
      <c r="A627" s="215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>
      <c r="A628" s="215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>
      <c r="A629" s="215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>
      <c r="A630" s="215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>
      <c r="A631" s="215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>
      <c r="A632" s="215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>
      <c r="A633" s="215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>
      <c r="A634" s="215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>
      <c r="A635" s="215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>
      <c r="A636" s="215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>
      <c r="A637" s="215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>
      <c r="A638" s="215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>
      <c r="A639" s="215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>
      <c r="A640" s="215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>
      <c r="A641" s="215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>
      <c r="A642" s="215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>
      <c r="A643" s="215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>
      <c r="A644" s="215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>
      <c r="A645" s="215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>
      <c r="A646" s="215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>
      <c r="A647" s="215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>
      <c r="A648" s="215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>
      <c r="A649" s="215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>
      <c r="A650" s="215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>
      <c r="A651" s="215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>
      <c r="A652" s="215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>
      <c r="A653" s="215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>
      <c r="A654" s="215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>
      <c r="A655" s="215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>
      <c r="A656" s="215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>
      <c r="A657" s="215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>
      <c r="A658" s="215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>
      <c r="A659" s="215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>
      <c r="A660" s="215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>
      <c r="A661" s="215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>
      <c r="A662" s="215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>
      <c r="A663" s="215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>
      <c r="A664" s="215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>
      <c r="A665" s="215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>
      <c r="A666" s="215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>
      <c r="A667" s="215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>
      <c r="A668" s="215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>
      <c r="A669" s="215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>
      <c r="A670" s="215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>
      <c r="A671" s="215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>
      <c r="A672" s="215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>
      <c r="A673" s="215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>
      <c r="A674" s="215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>
      <c r="A675" s="215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>
      <c r="A676" s="215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>
      <c r="A677" s="215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>
      <c r="A678" s="215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>
      <c r="A679" s="215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>
      <c r="A680" s="215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>
      <c r="A681" s="215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>
      <c r="A682" s="215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>
      <c r="A683" s="215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>
      <c r="A684" s="215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>
      <c r="A685" s="215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>
      <c r="A686" s="215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>
      <c r="A687" s="215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>
      <c r="A688" s="215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>
      <c r="A689" s="215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>
      <c r="A690" s="215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>
      <c r="A691" s="215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>
      <c r="A692" s="215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>
      <c r="A693" s="215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>
      <c r="A694" s="215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>
      <c r="A695" s="215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>
      <c r="A696" s="215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>
      <c r="A697" s="215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>
      <c r="A698" s="215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>
      <c r="A699" s="215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>
      <c r="A700" s="215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>
      <c r="A701" s="215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>
      <c r="A702" s="215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>
      <c r="A703" s="215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>
      <c r="A704" s="215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>
      <c r="A705" s="215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>
      <c r="A706" s="215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>
      <c r="A707" s="215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>
      <c r="A708" s="215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>
      <c r="A709" s="215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>
      <c r="A710" s="215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>
      <c r="A711" s="215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>
      <c r="A712" s="215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>
      <c r="A713" s="215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>
      <c r="A714" s="215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>
      <c r="A715" s="215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>
      <c r="A716" s="215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>
      <c r="A717" s="215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>
      <c r="A718" s="215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>
      <c r="A719" s="215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>
      <c r="A720" s="215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>
      <c r="A721" s="215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>
      <c r="A722" s="215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>
      <c r="A723" s="215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>
      <c r="A724" s="215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>
      <c r="A725" s="215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>
      <c r="A726" s="215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>
      <c r="A727" s="215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>
      <c r="A728" s="215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>
      <c r="A729" s="215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>
      <c r="A730" s="215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>
      <c r="A731" s="215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>
      <c r="A732" s="215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>
      <c r="A733" s="215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>
      <c r="A734" s="215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>
      <c r="A735" s="215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>
      <c r="A736" s="215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>
      <c r="A737" s="215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>
      <c r="A738" s="215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>
      <c r="A739" s="215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>
      <c r="A740" s="215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>
      <c r="A741" s="215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>
      <c r="A742" s="215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>
      <c r="A743" s="215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>
      <c r="A744" s="215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>
      <c r="A745" s="215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>
      <c r="A746" s="215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>
      <c r="A747" s="215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>
      <c r="A748" s="215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>
      <c r="A749" s="215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>
      <c r="A750" s="215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>
      <c r="A751" s="215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>
      <c r="A752" s="215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>
      <c r="A753" s="215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>
      <c r="A754" s="215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>
      <c r="A755" s="215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>
      <c r="A756" s="215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>
      <c r="A757" s="215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>
      <c r="A758" s="215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>
      <c r="A759" s="215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>
      <c r="A760" s="215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>
      <c r="A761" s="215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>
      <c r="A762" s="215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>
      <c r="A763" s="215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>
      <c r="A764" s="215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>
      <c r="A765" s="215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>
      <c r="A766" s="215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>
      <c r="A767" s="215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>
      <c r="A768" s="215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>
      <c r="A769" s="215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>
      <c r="A770" s="215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>
      <c r="A771" s="215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>
      <c r="A772" s="215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>
      <c r="A773" s="215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>
      <c r="A774" s="215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>
      <c r="A775" s="215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>
      <c r="A776" s="215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>
      <c r="A777" s="215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>
      <c r="A778" s="215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>
      <c r="A779" s="215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>
      <c r="A780" s="215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>
      <c r="A781" s="215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>
      <c r="A782" s="215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>
      <c r="A783" s="215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>
      <c r="A784" s="215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>
      <c r="A785" s="215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>
      <c r="A786" s="215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>
      <c r="A787" s="215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>
      <c r="A788" s="215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>
      <c r="A789" s="215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>
      <c r="A790" s="215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>
      <c r="A791" s="215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>
      <c r="A792" s="215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>
      <c r="A793" s="215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>
      <c r="A794" s="215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>
      <c r="A795" s="215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>
      <c r="A796" s="215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>
      <c r="A797" s="215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>
      <c r="A798" s="215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>
      <c r="A799" s="215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>
      <c r="A800" s="215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>
      <c r="A801" s="215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>
      <c r="A802" s="215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>
      <c r="A803" s="215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>
      <c r="A804" s="215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>
      <c r="A805" s="215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>
      <c r="A806" s="215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>
      <c r="A807" s="215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>
      <c r="A808" s="215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>
      <c r="A809" s="215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>
      <c r="A810" s="215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>
      <c r="A811" s="215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>
      <c r="A812" s="215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>
      <c r="A813" s="215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>
      <c r="A814" s="215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>
      <c r="A815" s="215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>
      <c r="A816" s="215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>
      <c r="A817" s="215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>
      <c r="A818" s="215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>
      <c r="A819" s="215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>
      <c r="A820" s="215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>
      <c r="A821" s="215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>
      <c r="A822" s="215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>
      <c r="A823" s="215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>
      <c r="A824" s="215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>
      <c r="A825" s="215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>
      <c r="A826" s="215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>
      <c r="A827" s="215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>
      <c r="A828" s="215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>
      <c r="A829" s="215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>
      <c r="A830" s="215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>
      <c r="A831" s="215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>
      <c r="A832" s="215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>
      <c r="A833" s="215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>
      <c r="A834" s="215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>
      <c r="A835" s="215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>
      <c r="A836" s="215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>
      <c r="A837" s="215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>
      <c r="A838" s="215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>
      <c r="A839" s="215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>
      <c r="A840" s="215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>
      <c r="A841" s="215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>
      <c r="A842" s="215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>
      <c r="A843" s="215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>
      <c r="A844" s="215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>
      <c r="A845" s="215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>
      <c r="A846" s="215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>
      <c r="A847" s="215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>
      <c r="A848" s="215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>
      <c r="A849" s="215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>
      <c r="A850" s="215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>
      <c r="A851" s="215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>
      <c r="A852" s="215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>
      <c r="A853" s="215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>
      <c r="A854" s="215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>
      <c r="A855" s="215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>
      <c r="A856" s="215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>
      <c r="A857" s="215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>
      <c r="A858" s="215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>
      <c r="A859" s="215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>
      <c r="A860" s="215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>
      <c r="A861" s="215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>
      <c r="A862" s="215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>
      <c r="A863" s="215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>
      <c r="A864" s="215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>
      <c r="A865" s="215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>
      <c r="A866" s="215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>
      <c r="A867" s="215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>
      <c r="A868" s="215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>
      <c r="A869" s="215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>
      <c r="A870" s="215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>
      <c r="A871" s="215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>
      <c r="A872" s="215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>
      <c r="A873" s="215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>
      <c r="A874" s="215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>
      <c r="A875" s="215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>
      <c r="A876" s="215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>
      <c r="A877" s="215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>
      <c r="A878" s="215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>
      <c r="A879" s="215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>
      <c r="A880" s="215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>
      <c r="A881" s="215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>
      <c r="A882" s="215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>
      <c r="A883" s="215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>
      <c r="A884" s="215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>
      <c r="A885" s="215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>
      <c r="A886" s="215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>
      <c r="A887" s="215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>
      <c r="A888" s="215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>
      <c r="A889" s="215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>
      <c r="A890" s="215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>
      <c r="A891" s="215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>
      <c r="A892" s="215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>
      <c r="A893" s="215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>
      <c r="A894" s="215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>
      <c r="A895" s="215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>
      <c r="A896" s="215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>
      <c r="A897" s="215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>
      <c r="A898" s="215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>
      <c r="A899" s="215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>
      <c r="A900" s="215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>
      <c r="A901" s="215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>
      <c r="A902" s="215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>
      <c r="A903" s="215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>
      <c r="A904" s="215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>
      <c r="A905" s="215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>
      <c r="A906" s="215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>
      <c r="A907" s="215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>
      <c r="A908" s="215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>
      <c r="A909" s="215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>
      <c r="A910" s="215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>
      <c r="A911" s="215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>
      <c r="A912" s="215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>
      <c r="A913" s="215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>
      <c r="A914" s="215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>
      <c r="A915" s="215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>
      <c r="A916" s="215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>
      <c r="A917" s="215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>
      <c r="A918" s="215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>
      <c r="A919" s="215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>
      <c r="A920" s="215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>
      <c r="A921" s="215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>
      <c r="A922" s="215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>
      <c r="A923" s="215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>
      <c r="A924" s="215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>
      <c r="A925" s="215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>
      <c r="A926" s="215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>
      <c r="A927" s="215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>
      <c r="A928" s="215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>
      <c r="A929" s="215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>
      <c r="A930" s="215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>
      <c r="A931" s="215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>
      <c r="A932" s="215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>
      <c r="A933" s="215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>
      <c r="A934" s="215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>
      <c r="A935" s="215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>
      <c r="A936" s="215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>
      <c r="A937" s="215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>
      <c r="A938" s="215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>
      <c r="A939" s="215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>
      <c r="A940" s="215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>
      <c r="A941" s="215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>
      <c r="A942" s="215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>
      <c r="A943" s="215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>
      <c r="A944" s="215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>
      <c r="A945" s="215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</sheetData>
  <mergeCells count="12"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28:G28"/>
  </mergeCells>
  <conditionalFormatting sqref="AA14">
    <cfRule type="cellIs" dxfId="16" priority="1" operator="equal">
      <formula>"MICU"</formula>
    </cfRule>
  </conditionalFormatting>
  <conditionalFormatting sqref="AA14">
    <cfRule type="cellIs" dxfId="17" priority="2" operator="equal">
      <formula>"M"</formula>
    </cfRule>
  </conditionalFormatting>
  <conditionalFormatting sqref="AA14">
    <cfRule type="cellIs" dxfId="18" priority="3" operator="equal">
      <formula>"BH"</formula>
    </cfRule>
  </conditionalFormatting>
  <conditionalFormatting sqref="AA14">
    <cfRule type="cellIs" dxfId="19" priority="4" operator="equal">
      <formula>"PedB"</formula>
    </cfRule>
  </conditionalFormatting>
  <conditionalFormatting sqref="AA14">
    <cfRule type="cellIs" dxfId="20" priority="5" operator="equal">
      <formula>"TH"</formula>
    </cfRule>
  </conditionalFormatting>
  <conditionalFormatting sqref="AA14">
    <cfRule type="cellIs" dxfId="7" priority="6" operator="equal">
      <formula>"BK"</formula>
    </cfRule>
  </conditionalFormatting>
  <conditionalFormatting sqref="AA14">
    <cfRule type="cellIs" dxfId="21" priority="7" operator="equal">
      <formula>"NICU"</formula>
    </cfRule>
  </conditionalFormatting>
  <conditionalFormatting sqref="AA14">
    <cfRule type="cellIs" dxfId="22" priority="8" operator="equal">
      <formula>"SICU"</formula>
    </cfRule>
  </conditionalFormatting>
  <conditionalFormatting sqref="AA14">
    <cfRule type="cellIs" dxfId="23" priority="9" operator="equal">
      <formula>"PSY"</formula>
    </cfRule>
  </conditionalFormatting>
  <conditionalFormatting sqref="AA14">
    <cfRule type="cellIs" dxfId="24" priority="10" operator="equal">
      <formula>"T"</formula>
    </cfRule>
  </conditionalFormatting>
  <conditionalFormatting sqref="AA14">
    <cfRule type="cellIs" dxfId="25" priority="11" operator="equal">
      <formula>"V"</formula>
    </cfRule>
  </conditionalFormatting>
  <conditionalFormatting sqref="AA14">
    <cfRule type="cellIs" dxfId="26" priority="12" operator="equal">
      <formula>"PedT"</formula>
    </cfRule>
  </conditionalFormatting>
  <conditionalFormatting sqref="AA14">
    <cfRule type="cellIs" dxfId="27" priority="13" operator="equal">
      <formula>"J"</formula>
    </cfRule>
  </conditionalFormatting>
  <conditionalFormatting sqref="AA14">
    <cfRule type="cellIs" dxfId="28" priority="14" operator="equal">
      <formula>"AnUS"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25.14"/>
    <col customWidth="1" min="2" max="4" width="5.71"/>
    <col customWidth="1" min="5" max="5" width="6.0"/>
    <col customWidth="1" min="6" max="13" width="5.71"/>
    <col customWidth="1" min="14" max="14" width="5.14"/>
    <col customWidth="1" min="15" max="18" width="5.71"/>
    <col customWidth="1" min="19" max="19" width="5.0"/>
    <col customWidth="1" min="20" max="27" width="5.71"/>
  </cols>
  <sheetData>
    <row r="1">
      <c r="A1" s="266"/>
      <c r="B1" s="166" t="s">
        <v>300</v>
      </c>
      <c r="C1" s="167" t="s">
        <v>301</v>
      </c>
      <c r="D1" s="168" t="s">
        <v>302</v>
      </c>
      <c r="E1" s="169" t="s">
        <v>303</v>
      </c>
      <c r="F1" s="166" t="s">
        <v>304</v>
      </c>
      <c r="G1" s="167" t="s">
        <v>305</v>
      </c>
      <c r="H1" s="170" t="s">
        <v>306</v>
      </c>
      <c r="I1" s="171" t="s">
        <v>307</v>
      </c>
      <c r="J1" s="170" t="s">
        <v>308</v>
      </c>
      <c r="K1" s="167" t="s">
        <v>309</v>
      </c>
      <c r="L1" s="168" t="s">
        <v>310</v>
      </c>
      <c r="M1" s="169" t="s">
        <v>311</v>
      </c>
      <c r="N1" s="170" t="s">
        <v>312</v>
      </c>
      <c r="O1" s="173" t="s">
        <v>313</v>
      </c>
      <c r="P1" s="170" t="s">
        <v>314</v>
      </c>
      <c r="Q1" s="171" t="s">
        <v>315</v>
      </c>
      <c r="R1" s="172" t="s">
        <v>316</v>
      </c>
      <c r="S1" s="173" t="s">
        <v>317</v>
      </c>
      <c r="T1" s="171" t="s">
        <v>318</v>
      </c>
      <c r="U1" s="170" t="s">
        <v>319</v>
      </c>
      <c r="V1" s="173" t="s">
        <v>320</v>
      </c>
      <c r="W1" s="171" t="s">
        <v>321</v>
      </c>
      <c r="X1" s="170" t="s">
        <v>322</v>
      </c>
      <c r="Y1" s="169" t="s">
        <v>323</v>
      </c>
      <c r="Z1" s="172" t="s">
        <v>324</v>
      </c>
      <c r="AA1" s="173" t="s">
        <v>325</v>
      </c>
    </row>
    <row r="2">
      <c r="B2" s="267">
        <v>44743.0</v>
      </c>
      <c r="C2" s="268">
        <v>45852.0</v>
      </c>
      <c r="D2" s="269">
        <v>45866.0</v>
      </c>
      <c r="E2" s="269">
        <v>45880.0</v>
      </c>
      <c r="F2" s="270">
        <v>45894.0</v>
      </c>
      <c r="G2" s="270">
        <v>45908.0</v>
      </c>
      <c r="H2" s="269">
        <v>45922.0</v>
      </c>
      <c r="I2" s="269">
        <v>45936.0</v>
      </c>
      <c r="J2" s="271">
        <v>45950.0</v>
      </c>
      <c r="K2" s="270">
        <v>45964.0</v>
      </c>
      <c r="L2" s="272">
        <v>45978.0</v>
      </c>
      <c r="M2" s="272">
        <v>45992.0</v>
      </c>
      <c r="N2" s="269">
        <v>46006.0</v>
      </c>
      <c r="O2" s="270">
        <v>46020.0</v>
      </c>
      <c r="P2" s="272">
        <v>45669.0</v>
      </c>
      <c r="Q2" s="272">
        <v>45683.0</v>
      </c>
      <c r="R2" s="273">
        <v>45697.0</v>
      </c>
      <c r="S2" s="273">
        <v>45711.0</v>
      </c>
      <c r="T2" s="269">
        <v>45725.0</v>
      </c>
      <c r="U2" s="269">
        <v>45739.0</v>
      </c>
      <c r="V2" s="273">
        <v>45753.0</v>
      </c>
      <c r="W2" s="269">
        <v>45767.0</v>
      </c>
      <c r="X2" s="272">
        <v>45781.0</v>
      </c>
      <c r="Y2" s="272">
        <v>45795.0</v>
      </c>
      <c r="Z2" s="273">
        <v>45809.0</v>
      </c>
      <c r="AA2" s="270">
        <v>45823.0</v>
      </c>
    </row>
    <row r="3" ht="15.75" customHeight="1">
      <c r="A3" s="76" t="s">
        <v>118</v>
      </c>
      <c r="B3" s="274" t="s">
        <v>155</v>
      </c>
      <c r="C3" s="275" t="s">
        <v>114</v>
      </c>
      <c r="D3" s="276" t="s">
        <v>379</v>
      </c>
      <c r="E3" s="274" t="s">
        <v>155</v>
      </c>
      <c r="F3" s="275" t="s">
        <v>114</v>
      </c>
      <c r="G3" s="275" t="s">
        <v>114</v>
      </c>
      <c r="H3" s="277" t="s">
        <v>380</v>
      </c>
      <c r="I3" s="275" t="s">
        <v>114</v>
      </c>
      <c r="J3" s="278" t="s">
        <v>381</v>
      </c>
      <c r="K3" s="279" t="s">
        <v>144</v>
      </c>
      <c r="L3" s="280" t="s">
        <v>382</v>
      </c>
      <c r="M3" s="275" t="s">
        <v>114</v>
      </c>
      <c r="N3" s="274" t="s">
        <v>155</v>
      </c>
      <c r="O3" s="281" t="s">
        <v>330</v>
      </c>
      <c r="P3" s="275" t="s">
        <v>114</v>
      </c>
      <c r="Q3" s="282" t="s">
        <v>383</v>
      </c>
      <c r="R3" s="275" t="s">
        <v>114</v>
      </c>
      <c r="S3" s="275" t="s">
        <v>114</v>
      </c>
      <c r="T3" s="283" t="s">
        <v>114</v>
      </c>
      <c r="U3" s="276" t="s">
        <v>379</v>
      </c>
      <c r="V3" s="284" t="s">
        <v>112</v>
      </c>
      <c r="W3" s="284" t="s">
        <v>112</v>
      </c>
      <c r="X3" s="275" t="s">
        <v>114</v>
      </c>
      <c r="Y3" s="281" t="s">
        <v>330</v>
      </c>
      <c r="Z3" s="275" t="s">
        <v>114</v>
      </c>
      <c r="AA3" s="275" t="s">
        <v>114</v>
      </c>
    </row>
    <row r="4" ht="15.75" customHeight="1">
      <c r="A4" s="38" t="s">
        <v>139</v>
      </c>
      <c r="B4" s="274" t="s">
        <v>155</v>
      </c>
      <c r="C4" s="275" t="s">
        <v>114</v>
      </c>
      <c r="D4" s="276" t="s">
        <v>379</v>
      </c>
      <c r="E4" s="275" t="s">
        <v>114</v>
      </c>
      <c r="F4" s="275" t="s">
        <v>114</v>
      </c>
      <c r="G4" s="274" t="s">
        <v>155</v>
      </c>
      <c r="H4" s="281" t="s">
        <v>330</v>
      </c>
      <c r="I4" s="275" t="s">
        <v>114</v>
      </c>
      <c r="J4" s="275" t="s">
        <v>114</v>
      </c>
      <c r="K4" s="275" t="s">
        <v>114</v>
      </c>
      <c r="L4" s="277" t="s">
        <v>380</v>
      </c>
      <c r="M4" s="276" t="s">
        <v>379</v>
      </c>
      <c r="N4" s="275" t="s">
        <v>114</v>
      </c>
      <c r="O4" s="275" t="s">
        <v>114</v>
      </c>
      <c r="P4" s="279" t="s">
        <v>144</v>
      </c>
      <c r="Q4" s="278" t="s">
        <v>381</v>
      </c>
      <c r="R4" s="285" t="s">
        <v>382</v>
      </c>
      <c r="S4" s="275" t="s">
        <v>114</v>
      </c>
      <c r="T4" s="281" t="s">
        <v>330</v>
      </c>
      <c r="U4" s="282" t="s">
        <v>383</v>
      </c>
      <c r="V4" s="283" t="s">
        <v>114</v>
      </c>
      <c r="W4" s="275" t="s">
        <v>114</v>
      </c>
      <c r="X4" s="284" t="s">
        <v>112</v>
      </c>
      <c r="Y4" s="284" t="s">
        <v>112</v>
      </c>
      <c r="Z4" s="275" t="s">
        <v>114</v>
      </c>
      <c r="AA4" s="286" t="s">
        <v>155</v>
      </c>
    </row>
    <row r="5" ht="15.75" customHeight="1">
      <c r="A5" s="83" t="s">
        <v>123</v>
      </c>
      <c r="B5" s="275" t="s">
        <v>114</v>
      </c>
      <c r="C5" s="274" t="s">
        <v>155</v>
      </c>
      <c r="D5" s="279" t="s">
        <v>144</v>
      </c>
      <c r="E5" s="278" t="s">
        <v>381</v>
      </c>
      <c r="F5" s="275" t="s">
        <v>114</v>
      </c>
      <c r="G5" s="275" t="s">
        <v>114</v>
      </c>
      <c r="H5" s="274" t="s">
        <v>155</v>
      </c>
      <c r="I5" s="275" t="s">
        <v>114</v>
      </c>
      <c r="J5" s="281" t="s">
        <v>330</v>
      </c>
      <c r="K5" s="275" t="s">
        <v>114</v>
      </c>
      <c r="L5" s="275" t="s">
        <v>114</v>
      </c>
      <c r="M5" s="280" t="s">
        <v>382</v>
      </c>
      <c r="N5" s="276" t="s">
        <v>379</v>
      </c>
      <c r="O5" s="275" t="s">
        <v>114</v>
      </c>
      <c r="P5" s="276" t="s">
        <v>379</v>
      </c>
      <c r="Q5" s="275" t="s">
        <v>114</v>
      </c>
      <c r="R5" s="275" t="s">
        <v>114</v>
      </c>
      <c r="S5" s="275" t="s">
        <v>114</v>
      </c>
      <c r="T5" s="284" t="s">
        <v>112</v>
      </c>
      <c r="U5" s="284" t="s">
        <v>112</v>
      </c>
      <c r="V5" s="275" t="s">
        <v>114</v>
      </c>
      <c r="W5" s="282" t="s">
        <v>383</v>
      </c>
      <c r="X5" s="277" t="s">
        <v>380</v>
      </c>
      <c r="Y5" s="274" t="s">
        <v>155</v>
      </c>
      <c r="Z5" s="281" t="s">
        <v>330</v>
      </c>
      <c r="AA5" s="275" t="s">
        <v>114</v>
      </c>
    </row>
    <row r="6" ht="15.75" customHeight="1">
      <c r="A6" s="38" t="s">
        <v>196</v>
      </c>
      <c r="B6" s="287" t="s">
        <v>114</v>
      </c>
      <c r="C6" s="286" t="s">
        <v>155</v>
      </c>
      <c r="D6" s="288" t="s">
        <v>380</v>
      </c>
      <c r="E6" s="276" t="s">
        <v>379</v>
      </c>
      <c r="F6" s="286" t="s">
        <v>155</v>
      </c>
      <c r="G6" s="287" t="s">
        <v>114</v>
      </c>
      <c r="H6" s="289" t="s">
        <v>112</v>
      </c>
      <c r="I6" s="289" t="s">
        <v>112</v>
      </c>
      <c r="J6" s="287" t="s">
        <v>114</v>
      </c>
      <c r="K6" s="290" t="s">
        <v>382</v>
      </c>
      <c r="L6" s="287" t="s">
        <v>114</v>
      </c>
      <c r="M6" s="291" t="s">
        <v>330</v>
      </c>
      <c r="N6" s="287" t="s">
        <v>114</v>
      </c>
      <c r="O6" s="287" t="s">
        <v>114</v>
      </c>
      <c r="P6" s="292" t="s">
        <v>114</v>
      </c>
      <c r="Q6" s="292" t="s">
        <v>114</v>
      </c>
      <c r="R6" s="293" t="s">
        <v>381</v>
      </c>
      <c r="S6" s="294" t="s">
        <v>144</v>
      </c>
      <c r="T6" s="291" t="s">
        <v>330</v>
      </c>
      <c r="U6" s="287" t="s">
        <v>114</v>
      </c>
      <c r="V6" s="287" t="s">
        <v>114</v>
      </c>
      <c r="W6" s="286" t="s">
        <v>155</v>
      </c>
      <c r="X6" s="276" t="s">
        <v>379</v>
      </c>
      <c r="Y6" s="287" t="s">
        <v>114</v>
      </c>
      <c r="Z6" s="295" t="s">
        <v>383</v>
      </c>
      <c r="AA6" s="287" t="s">
        <v>114</v>
      </c>
    </row>
    <row r="7" ht="15.75" customHeight="1">
      <c r="A7" s="83" t="s">
        <v>384</v>
      </c>
      <c r="B7" s="275" t="s">
        <v>114</v>
      </c>
      <c r="C7" s="276" t="s">
        <v>379</v>
      </c>
      <c r="D7" s="275" t="s">
        <v>114</v>
      </c>
      <c r="E7" s="277" t="s">
        <v>380</v>
      </c>
      <c r="F7" s="281" t="s">
        <v>330</v>
      </c>
      <c r="G7" s="280" t="s">
        <v>382</v>
      </c>
      <c r="H7" s="275" t="s">
        <v>114</v>
      </c>
      <c r="I7" s="286" t="s">
        <v>155</v>
      </c>
      <c r="J7" s="275" t="s">
        <v>114</v>
      </c>
      <c r="K7" s="276" t="s">
        <v>379</v>
      </c>
      <c r="L7" s="275" t="s">
        <v>114</v>
      </c>
      <c r="M7" s="275" t="s">
        <v>114</v>
      </c>
      <c r="N7" s="275" t="s">
        <v>114</v>
      </c>
      <c r="O7" s="275" t="s">
        <v>114</v>
      </c>
      <c r="P7" s="284" t="s">
        <v>112</v>
      </c>
      <c r="Q7" s="284" t="s">
        <v>112</v>
      </c>
      <c r="R7" s="281" t="s">
        <v>330</v>
      </c>
      <c r="S7" s="274" t="s">
        <v>155</v>
      </c>
      <c r="T7" s="275" t="s">
        <v>114</v>
      </c>
      <c r="U7" s="275" t="s">
        <v>114</v>
      </c>
      <c r="V7" s="296" t="s">
        <v>381</v>
      </c>
      <c r="W7" s="297" t="s">
        <v>144</v>
      </c>
      <c r="X7" s="275" t="s">
        <v>114</v>
      </c>
      <c r="Y7" s="282" t="s">
        <v>383</v>
      </c>
      <c r="Z7" s="275" t="s">
        <v>114</v>
      </c>
      <c r="AA7" s="286" t="s">
        <v>155</v>
      </c>
    </row>
    <row r="8" ht="15.75" customHeight="1">
      <c r="A8" s="38" t="s">
        <v>385</v>
      </c>
      <c r="B8" s="274" t="s">
        <v>155</v>
      </c>
      <c r="C8" s="275" t="s">
        <v>114</v>
      </c>
      <c r="D8" s="275" t="s">
        <v>114</v>
      </c>
      <c r="E8" s="282" t="s">
        <v>383</v>
      </c>
      <c r="F8" s="275" t="s">
        <v>114</v>
      </c>
      <c r="G8" s="275" t="s">
        <v>114</v>
      </c>
      <c r="H8" s="281" t="s">
        <v>330</v>
      </c>
      <c r="I8" s="286" t="s">
        <v>155</v>
      </c>
      <c r="J8" s="275" t="s">
        <v>114</v>
      </c>
      <c r="K8" s="275" t="s">
        <v>114</v>
      </c>
      <c r="L8" s="275" t="s">
        <v>114</v>
      </c>
      <c r="M8" s="275" t="s">
        <v>114</v>
      </c>
      <c r="N8" s="279" t="s">
        <v>144</v>
      </c>
      <c r="O8" s="278" t="s">
        <v>381</v>
      </c>
      <c r="P8" s="276" t="s">
        <v>379</v>
      </c>
      <c r="Q8" s="275" t="s">
        <v>114</v>
      </c>
      <c r="R8" s="284" t="s">
        <v>112</v>
      </c>
      <c r="S8" s="284" t="s">
        <v>112</v>
      </c>
      <c r="T8" s="281" t="s">
        <v>330</v>
      </c>
      <c r="U8" s="275" t="s">
        <v>114</v>
      </c>
      <c r="V8" s="275" t="s">
        <v>114</v>
      </c>
      <c r="W8" s="280" t="s">
        <v>382</v>
      </c>
      <c r="X8" s="276" t="s">
        <v>379</v>
      </c>
      <c r="Y8" s="275" t="s">
        <v>114</v>
      </c>
      <c r="Z8" s="286" t="s">
        <v>155</v>
      </c>
      <c r="AA8" s="277" t="s">
        <v>380</v>
      </c>
    </row>
    <row r="9" ht="15.75" customHeight="1">
      <c r="A9" s="38" t="s">
        <v>126</v>
      </c>
      <c r="B9" s="286" t="s">
        <v>155</v>
      </c>
      <c r="C9" s="287" t="s">
        <v>114</v>
      </c>
      <c r="D9" s="289" t="s">
        <v>112</v>
      </c>
      <c r="E9" s="289" t="s">
        <v>112</v>
      </c>
      <c r="F9" s="287" t="s">
        <v>114</v>
      </c>
      <c r="G9" s="276" t="s">
        <v>379</v>
      </c>
      <c r="H9" s="291" t="s">
        <v>330</v>
      </c>
      <c r="I9" s="298" t="s">
        <v>382</v>
      </c>
      <c r="J9" s="287" t="s">
        <v>114</v>
      </c>
      <c r="K9" s="288" t="s">
        <v>380</v>
      </c>
      <c r="L9" s="287" t="s">
        <v>114</v>
      </c>
      <c r="M9" s="286" t="s">
        <v>155</v>
      </c>
      <c r="N9" s="276" t="s">
        <v>379</v>
      </c>
      <c r="O9" s="295" t="s">
        <v>383</v>
      </c>
      <c r="P9" s="293" t="s">
        <v>381</v>
      </c>
      <c r="Q9" s="294" t="s">
        <v>144</v>
      </c>
      <c r="R9" s="292" t="s">
        <v>114</v>
      </c>
      <c r="S9" s="292" t="s">
        <v>114</v>
      </c>
      <c r="T9" s="291" t="s">
        <v>330</v>
      </c>
      <c r="U9" s="287" t="s">
        <v>114</v>
      </c>
      <c r="V9" s="287" t="s">
        <v>114</v>
      </c>
      <c r="W9" s="287" t="s">
        <v>114</v>
      </c>
      <c r="X9" s="287" t="s">
        <v>114</v>
      </c>
      <c r="Y9" s="286" t="s">
        <v>155</v>
      </c>
      <c r="Z9" s="287" t="s">
        <v>114</v>
      </c>
      <c r="AA9" s="287" t="s">
        <v>114</v>
      </c>
    </row>
    <row r="10" ht="15.75" customHeight="1">
      <c r="A10" s="38" t="s">
        <v>143</v>
      </c>
      <c r="B10" s="276" t="s">
        <v>379</v>
      </c>
      <c r="C10" s="277" t="s">
        <v>380</v>
      </c>
      <c r="D10" s="275" t="s">
        <v>114</v>
      </c>
      <c r="E10" s="275" t="s">
        <v>114</v>
      </c>
      <c r="F10" s="275" t="s">
        <v>114</v>
      </c>
      <c r="G10" s="274" t="s">
        <v>155</v>
      </c>
      <c r="H10" s="275" t="s">
        <v>114</v>
      </c>
      <c r="I10" s="275" t="s">
        <v>114</v>
      </c>
      <c r="J10" s="282" t="s">
        <v>383</v>
      </c>
      <c r="K10" s="275" t="s">
        <v>114</v>
      </c>
      <c r="L10" s="274" t="s">
        <v>155</v>
      </c>
      <c r="M10" s="275" t="s">
        <v>114</v>
      </c>
      <c r="N10" s="276" t="s">
        <v>379</v>
      </c>
      <c r="O10" s="275" t="s">
        <v>114</v>
      </c>
      <c r="P10" s="275" t="s">
        <v>114</v>
      </c>
      <c r="Q10" s="275" t="s">
        <v>114</v>
      </c>
      <c r="R10" s="281" t="s">
        <v>330</v>
      </c>
      <c r="S10" s="274" t="s">
        <v>155</v>
      </c>
      <c r="T10" s="279" t="s">
        <v>144</v>
      </c>
      <c r="U10" s="278" t="s">
        <v>381</v>
      </c>
      <c r="V10" s="284" t="s">
        <v>112</v>
      </c>
      <c r="W10" s="284" t="s">
        <v>112</v>
      </c>
      <c r="X10" s="275" t="s">
        <v>114</v>
      </c>
      <c r="Y10" s="280" t="s">
        <v>382</v>
      </c>
      <c r="Z10" s="275" t="s">
        <v>114</v>
      </c>
      <c r="AA10" s="281" t="s">
        <v>330</v>
      </c>
    </row>
    <row r="11" ht="15.75" customHeight="1">
      <c r="A11" s="38" t="s">
        <v>386</v>
      </c>
      <c r="B11" s="276" t="s">
        <v>379</v>
      </c>
      <c r="C11" s="275" t="s">
        <v>114</v>
      </c>
      <c r="D11" s="275" t="s">
        <v>114</v>
      </c>
      <c r="E11" s="275" t="s">
        <v>114</v>
      </c>
      <c r="F11" s="274" t="s">
        <v>155</v>
      </c>
      <c r="G11" s="277" t="s">
        <v>380</v>
      </c>
      <c r="H11" s="275" t="s">
        <v>114</v>
      </c>
      <c r="I11" s="275" t="s">
        <v>114</v>
      </c>
      <c r="J11" s="279" t="s">
        <v>144</v>
      </c>
      <c r="K11" s="278" t="s">
        <v>381</v>
      </c>
      <c r="L11" s="275" t="s">
        <v>114</v>
      </c>
      <c r="M11" s="281" t="s">
        <v>330</v>
      </c>
      <c r="N11" s="274" t="s">
        <v>155</v>
      </c>
      <c r="O11" s="275" t="s">
        <v>114</v>
      </c>
      <c r="P11" s="275" t="s">
        <v>114</v>
      </c>
      <c r="Q11" s="275" t="s">
        <v>114</v>
      </c>
      <c r="R11" s="284" t="s">
        <v>112</v>
      </c>
      <c r="S11" s="284" t="s">
        <v>112</v>
      </c>
      <c r="T11" s="283" t="s">
        <v>114</v>
      </c>
      <c r="U11" s="275" t="s">
        <v>114</v>
      </c>
      <c r="V11" s="282" t="s">
        <v>383</v>
      </c>
      <c r="W11" s="281" t="s">
        <v>330</v>
      </c>
      <c r="X11" s="276" t="s">
        <v>379</v>
      </c>
      <c r="Y11" s="275" t="s">
        <v>114</v>
      </c>
      <c r="Z11" s="286" t="s">
        <v>155</v>
      </c>
      <c r="AA11" s="280" t="s">
        <v>382</v>
      </c>
    </row>
    <row r="12" ht="15.75" customHeight="1">
      <c r="A12" s="83" t="s">
        <v>130</v>
      </c>
      <c r="B12" s="275" t="s">
        <v>114</v>
      </c>
      <c r="C12" s="274" t="s">
        <v>155</v>
      </c>
      <c r="D12" s="275" t="s">
        <v>114</v>
      </c>
      <c r="E12" s="275" t="s">
        <v>114</v>
      </c>
      <c r="F12" s="281" t="s">
        <v>330</v>
      </c>
      <c r="G12" s="282" t="s">
        <v>383</v>
      </c>
      <c r="H12" s="275" t="s">
        <v>114</v>
      </c>
      <c r="I12" s="277" t="s">
        <v>380</v>
      </c>
      <c r="J12" s="280" t="s">
        <v>382</v>
      </c>
      <c r="K12" s="275" t="s">
        <v>114</v>
      </c>
      <c r="L12" s="274" t="s">
        <v>155</v>
      </c>
      <c r="M12" s="275" t="s">
        <v>114</v>
      </c>
      <c r="N12" s="284" t="s">
        <v>112</v>
      </c>
      <c r="O12" s="284" t="s">
        <v>112</v>
      </c>
      <c r="P12" s="276" t="s">
        <v>379</v>
      </c>
      <c r="Q12" s="274" t="s">
        <v>155</v>
      </c>
      <c r="R12" s="275" t="s">
        <v>114</v>
      </c>
      <c r="S12" s="275" t="s">
        <v>114</v>
      </c>
      <c r="T12" s="275" t="s">
        <v>114</v>
      </c>
      <c r="U12" s="275" t="s">
        <v>114</v>
      </c>
      <c r="V12" s="279" t="s">
        <v>144</v>
      </c>
      <c r="W12" s="278" t="s">
        <v>381</v>
      </c>
      <c r="X12" s="281" t="s">
        <v>330</v>
      </c>
      <c r="Y12" s="275" t="s">
        <v>114</v>
      </c>
      <c r="Z12" s="276" t="s">
        <v>379</v>
      </c>
      <c r="AA12" s="275" t="s">
        <v>114</v>
      </c>
    </row>
    <row r="13" ht="15.75" customHeight="1">
      <c r="A13" s="38" t="s">
        <v>387</v>
      </c>
      <c r="B13" s="275" t="s">
        <v>114</v>
      </c>
      <c r="C13" s="275" t="s">
        <v>114</v>
      </c>
      <c r="D13" s="275" t="s">
        <v>114</v>
      </c>
      <c r="E13" s="275" t="s">
        <v>114</v>
      </c>
      <c r="F13" s="281" t="s">
        <v>330</v>
      </c>
      <c r="G13" s="276" t="s">
        <v>379</v>
      </c>
      <c r="H13" s="280" t="s">
        <v>382</v>
      </c>
      <c r="I13" s="283" t="s">
        <v>114</v>
      </c>
      <c r="J13" s="274" t="s">
        <v>155</v>
      </c>
      <c r="K13" s="282" t="s">
        <v>383</v>
      </c>
      <c r="L13" s="275" t="s">
        <v>114</v>
      </c>
      <c r="M13" s="274" t="s">
        <v>155</v>
      </c>
      <c r="N13" s="275" t="s">
        <v>114</v>
      </c>
      <c r="O13" s="275" t="s">
        <v>114</v>
      </c>
      <c r="P13" s="274" t="s">
        <v>155</v>
      </c>
      <c r="Q13" s="275" t="s">
        <v>114</v>
      </c>
      <c r="R13" s="276" t="s">
        <v>379</v>
      </c>
      <c r="S13" s="277" t="s">
        <v>380</v>
      </c>
      <c r="T13" s="281" t="s">
        <v>330</v>
      </c>
      <c r="U13" s="275" t="s">
        <v>114</v>
      </c>
      <c r="V13" s="275" t="s">
        <v>114</v>
      </c>
      <c r="W13" s="275" t="s">
        <v>114</v>
      </c>
      <c r="X13" s="284" t="s">
        <v>112</v>
      </c>
      <c r="Y13" s="284" t="s">
        <v>112</v>
      </c>
      <c r="Z13" s="279" t="s">
        <v>144</v>
      </c>
      <c r="AA13" s="278" t="s">
        <v>381</v>
      </c>
    </row>
    <row r="14" ht="15.75" customHeight="1">
      <c r="A14" s="83" t="s">
        <v>200</v>
      </c>
      <c r="B14" s="283" t="s">
        <v>114</v>
      </c>
      <c r="C14" s="280" t="s">
        <v>382</v>
      </c>
      <c r="D14" s="275" t="s">
        <v>114</v>
      </c>
      <c r="E14" s="275" t="s">
        <v>114</v>
      </c>
      <c r="F14" s="274" t="s">
        <v>155</v>
      </c>
      <c r="G14" s="275" t="s">
        <v>114</v>
      </c>
      <c r="H14" s="281" t="s">
        <v>330</v>
      </c>
      <c r="I14" s="275" t="s">
        <v>114</v>
      </c>
      <c r="J14" s="284" t="s">
        <v>112</v>
      </c>
      <c r="K14" s="284" t="s">
        <v>112</v>
      </c>
      <c r="L14" s="279" t="s">
        <v>144</v>
      </c>
      <c r="M14" s="278" t="s">
        <v>381</v>
      </c>
      <c r="N14" s="276" t="s">
        <v>379</v>
      </c>
      <c r="O14" s="274" t="s">
        <v>155</v>
      </c>
      <c r="P14" s="275" t="s">
        <v>114</v>
      </c>
      <c r="Q14" s="275" t="s">
        <v>114</v>
      </c>
      <c r="R14" s="277" t="s">
        <v>380</v>
      </c>
      <c r="S14" s="282" t="s">
        <v>383</v>
      </c>
      <c r="T14" s="283" t="s">
        <v>114</v>
      </c>
      <c r="U14" s="281" t="s">
        <v>330</v>
      </c>
      <c r="V14" s="275" t="s">
        <v>114</v>
      </c>
      <c r="W14" s="275" t="s">
        <v>114</v>
      </c>
      <c r="X14" s="286" t="s">
        <v>155</v>
      </c>
      <c r="Y14" s="275" t="s">
        <v>114</v>
      </c>
      <c r="Z14" s="276" t="s">
        <v>379</v>
      </c>
      <c r="AA14" s="275" t="s">
        <v>114</v>
      </c>
    </row>
    <row r="15" ht="15.75" customHeight="1">
      <c r="A15" s="38" t="s">
        <v>132</v>
      </c>
      <c r="B15" s="277" t="s">
        <v>380</v>
      </c>
      <c r="C15" s="283" t="s">
        <v>114</v>
      </c>
      <c r="D15" s="276" t="s">
        <v>379</v>
      </c>
      <c r="E15" s="280" t="s">
        <v>382</v>
      </c>
      <c r="F15" s="284" t="s">
        <v>112</v>
      </c>
      <c r="G15" s="284" t="s">
        <v>112</v>
      </c>
      <c r="H15" s="275" t="s">
        <v>114</v>
      </c>
      <c r="I15" s="282" t="s">
        <v>383</v>
      </c>
      <c r="J15" s="275" t="s">
        <v>114</v>
      </c>
      <c r="K15" s="274" t="s">
        <v>155</v>
      </c>
      <c r="L15" s="281" t="s">
        <v>330</v>
      </c>
      <c r="M15" s="275" t="s">
        <v>114</v>
      </c>
      <c r="N15" s="278" t="s">
        <v>381</v>
      </c>
      <c r="O15" s="279" t="s">
        <v>144</v>
      </c>
      <c r="P15" s="275" t="s">
        <v>114</v>
      </c>
      <c r="Q15" s="274" t="s">
        <v>155</v>
      </c>
      <c r="R15" s="275" t="s">
        <v>114</v>
      </c>
      <c r="S15" s="275" t="s">
        <v>114</v>
      </c>
      <c r="T15" s="276" t="s">
        <v>379</v>
      </c>
      <c r="U15" s="275" t="s">
        <v>114</v>
      </c>
      <c r="V15" s="286" t="s">
        <v>155</v>
      </c>
      <c r="W15" s="275" t="s">
        <v>114</v>
      </c>
      <c r="X15" s="275" t="s">
        <v>114</v>
      </c>
      <c r="Y15" s="281" t="s">
        <v>330</v>
      </c>
      <c r="Z15" s="275" t="s">
        <v>114</v>
      </c>
      <c r="AA15" s="275" t="s">
        <v>114</v>
      </c>
    </row>
    <row r="16" ht="15.75" customHeight="1">
      <c r="A16" s="38" t="s">
        <v>103</v>
      </c>
      <c r="B16" s="280" t="s">
        <v>382</v>
      </c>
      <c r="C16" s="282" t="s">
        <v>383</v>
      </c>
      <c r="D16" s="275" t="s">
        <v>114</v>
      </c>
      <c r="E16" s="274" t="s">
        <v>155</v>
      </c>
      <c r="F16" s="275" t="s">
        <v>114</v>
      </c>
      <c r="G16" s="275" t="s">
        <v>114</v>
      </c>
      <c r="H16" s="275" t="s">
        <v>114</v>
      </c>
      <c r="I16" s="275" t="s">
        <v>114</v>
      </c>
      <c r="J16" s="275" t="s">
        <v>114</v>
      </c>
      <c r="K16" s="275" t="s">
        <v>114</v>
      </c>
      <c r="L16" s="278" t="s">
        <v>381</v>
      </c>
      <c r="M16" s="279" t="s">
        <v>144</v>
      </c>
      <c r="N16" s="275" t="s">
        <v>114</v>
      </c>
      <c r="O16" s="281" t="s">
        <v>330</v>
      </c>
      <c r="P16" s="274" t="s">
        <v>155</v>
      </c>
      <c r="Q16" s="276" t="s">
        <v>379</v>
      </c>
      <c r="R16" s="275" t="s">
        <v>114</v>
      </c>
      <c r="S16" s="276" t="s">
        <v>379</v>
      </c>
      <c r="T16" s="284" t="s">
        <v>112</v>
      </c>
      <c r="U16" s="284" t="s">
        <v>112</v>
      </c>
      <c r="V16" s="277" t="s">
        <v>380</v>
      </c>
      <c r="W16" s="275" t="s">
        <v>114</v>
      </c>
      <c r="X16" s="275" t="s">
        <v>114</v>
      </c>
      <c r="Y16" s="281" t="s">
        <v>330</v>
      </c>
      <c r="Z16" s="275" t="s">
        <v>114</v>
      </c>
      <c r="AA16" s="286" t="s">
        <v>155</v>
      </c>
    </row>
    <row r="17" ht="15.75" customHeight="1">
      <c r="A17" s="38" t="s">
        <v>198</v>
      </c>
      <c r="B17" s="276" t="s">
        <v>379</v>
      </c>
      <c r="C17" s="299" t="s">
        <v>337</v>
      </c>
      <c r="D17" s="300" t="s">
        <v>114</v>
      </c>
      <c r="E17" s="286" t="s">
        <v>155</v>
      </c>
      <c r="F17" s="295" t="s">
        <v>383</v>
      </c>
      <c r="G17" s="287" t="s">
        <v>114</v>
      </c>
      <c r="H17" s="287" t="s">
        <v>114</v>
      </c>
      <c r="I17" s="291" t="s">
        <v>330</v>
      </c>
      <c r="J17" s="287" t="s">
        <v>114</v>
      </c>
      <c r="K17" s="287" t="s">
        <v>114</v>
      </c>
      <c r="L17" s="287" t="s">
        <v>114</v>
      </c>
      <c r="M17" s="287" t="s">
        <v>114</v>
      </c>
      <c r="N17" s="286" t="s">
        <v>155</v>
      </c>
      <c r="O17" s="276" t="s">
        <v>379</v>
      </c>
      <c r="P17" s="287" t="s">
        <v>114</v>
      </c>
      <c r="Q17" s="288" t="s">
        <v>380</v>
      </c>
      <c r="R17" s="301" t="s">
        <v>144</v>
      </c>
      <c r="S17" s="302" t="s">
        <v>381</v>
      </c>
      <c r="T17" s="300" t="s">
        <v>114</v>
      </c>
      <c r="U17" s="291" t="s">
        <v>330</v>
      </c>
      <c r="V17" s="285" t="s">
        <v>382</v>
      </c>
      <c r="W17" s="300" t="s">
        <v>114</v>
      </c>
      <c r="X17" s="287" t="s">
        <v>114</v>
      </c>
      <c r="Y17" s="287" t="s">
        <v>114</v>
      </c>
      <c r="Z17" s="289" t="s">
        <v>112</v>
      </c>
      <c r="AA17" s="289" t="s">
        <v>112</v>
      </c>
    </row>
    <row r="18" ht="15.75" customHeight="1">
      <c r="A18" s="38" t="s">
        <v>135</v>
      </c>
      <c r="B18" s="274" t="s">
        <v>155</v>
      </c>
      <c r="C18" s="283" t="s">
        <v>114</v>
      </c>
      <c r="D18" s="282" t="s">
        <v>383</v>
      </c>
      <c r="E18" s="281" t="s">
        <v>330</v>
      </c>
      <c r="F18" s="275" t="s">
        <v>114</v>
      </c>
      <c r="G18" s="275" t="s">
        <v>114</v>
      </c>
      <c r="H18" s="278" t="s">
        <v>381</v>
      </c>
      <c r="I18" s="279" t="s">
        <v>144</v>
      </c>
      <c r="J18" s="277" t="s">
        <v>380</v>
      </c>
      <c r="K18" s="275" t="s">
        <v>114</v>
      </c>
      <c r="L18" s="284" t="s">
        <v>112</v>
      </c>
      <c r="M18" s="284" t="s">
        <v>112</v>
      </c>
      <c r="N18" s="275" t="s">
        <v>114</v>
      </c>
      <c r="O18" s="280" t="s">
        <v>382</v>
      </c>
      <c r="P18" s="276" t="s">
        <v>379</v>
      </c>
      <c r="Q18" s="274" t="s">
        <v>155</v>
      </c>
      <c r="R18" s="275" t="s">
        <v>114</v>
      </c>
      <c r="S18" s="275" t="s">
        <v>114</v>
      </c>
      <c r="T18" s="283" t="s">
        <v>114</v>
      </c>
      <c r="U18" s="286" t="s">
        <v>155</v>
      </c>
      <c r="V18" s="276" t="s">
        <v>379</v>
      </c>
      <c r="W18" s="283" t="s">
        <v>114</v>
      </c>
      <c r="X18" s="281" t="s">
        <v>330</v>
      </c>
      <c r="Y18" s="275" t="s">
        <v>114</v>
      </c>
      <c r="Z18" s="275" t="s">
        <v>114</v>
      </c>
      <c r="AA18" s="275" t="s">
        <v>114</v>
      </c>
    </row>
    <row r="19" ht="15.75" customHeight="1">
      <c r="A19" s="38" t="s">
        <v>388</v>
      </c>
      <c r="B19" s="275" t="s">
        <v>114</v>
      </c>
      <c r="C19" s="275" t="s">
        <v>114</v>
      </c>
      <c r="D19" s="280" t="s">
        <v>382</v>
      </c>
      <c r="E19" s="275" t="s">
        <v>114</v>
      </c>
      <c r="F19" s="281" t="s">
        <v>330</v>
      </c>
      <c r="G19" s="276" t="s">
        <v>379</v>
      </c>
      <c r="H19" s="275" t="s">
        <v>114</v>
      </c>
      <c r="I19" s="275" t="s">
        <v>114</v>
      </c>
      <c r="J19" s="275" t="s">
        <v>114</v>
      </c>
      <c r="K19" s="274" t="s">
        <v>155</v>
      </c>
      <c r="L19" s="282" t="s">
        <v>383</v>
      </c>
      <c r="M19" s="277" t="s">
        <v>380</v>
      </c>
      <c r="N19" s="275" t="s">
        <v>114</v>
      </c>
      <c r="O19" s="275" t="s">
        <v>114</v>
      </c>
      <c r="P19" s="284" t="s">
        <v>112</v>
      </c>
      <c r="Q19" s="284" t="s">
        <v>112</v>
      </c>
      <c r="R19" s="274" t="s">
        <v>155</v>
      </c>
      <c r="S19" s="281" t="s">
        <v>330</v>
      </c>
      <c r="T19" s="283" t="s">
        <v>114</v>
      </c>
      <c r="U19" s="286" t="s">
        <v>155</v>
      </c>
      <c r="V19" s="275" t="s">
        <v>114</v>
      </c>
      <c r="W19" s="276" t="s">
        <v>379</v>
      </c>
      <c r="X19" s="275" t="s">
        <v>114</v>
      </c>
      <c r="Y19" s="275" t="s">
        <v>114</v>
      </c>
      <c r="Z19" s="278" t="s">
        <v>381</v>
      </c>
      <c r="AA19" s="279" t="s">
        <v>144</v>
      </c>
    </row>
    <row r="20" ht="15.75" customHeight="1">
      <c r="A20" s="38" t="s">
        <v>137</v>
      </c>
      <c r="B20" s="283" t="s">
        <v>114</v>
      </c>
      <c r="C20" s="283" t="s">
        <v>114</v>
      </c>
      <c r="D20" s="274" t="s">
        <v>155</v>
      </c>
      <c r="E20" s="275" t="s">
        <v>114</v>
      </c>
      <c r="F20" s="280" t="s">
        <v>382</v>
      </c>
      <c r="G20" s="275" t="s">
        <v>114</v>
      </c>
      <c r="H20" s="282" t="s">
        <v>383</v>
      </c>
      <c r="I20" s="275" t="s">
        <v>114</v>
      </c>
      <c r="J20" s="274" t="s">
        <v>155</v>
      </c>
      <c r="K20" s="300" t="s">
        <v>114</v>
      </c>
      <c r="L20" s="281" t="s">
        <v>330</v>
      </c>
      <c r="M20" s="283" t="s">
        <v>114</v>
      </c>
      <c r="N20" s="283" t="s">
        <v>114</v>
      </c>
      <c r="O20" s="277" t="s">
        <v>380</v>
      </c>
      <c r="P20" s="275" t="s">
        <v>114</v>
      </c>
      <c r="Q20" s="275" t="s">
        <v>114</v>
      </c>
      <c r="R20" s="275" t="s">
        <v>114</v>
      </c>
      <c r="S20" s="275" t="s">
        <v>114</v>
      </c>
      <c r="T20" s="278" t="s">
        <v>381</v>
      </c>
      <c r="U20" s="279" t="s">
        <v>144</v>
      </c>
      <c r="V20" s="286" t="s">
        <v>155</v>
      </c>
      <c r="W20" s="276" t="s">
        <v>379</v>
      </c>
      <c r="X20" s="276" t="s">
        <v>379</v>
      </c>
      <c r="Y20" s="281" t="s">
        <v>330</v>
      </c>
      <c r="Z20" s="284" t="s">
        <v>112</v>
      </c>
      <c r="AA20" s="284" t="s">
        <v>112</v>
      </c>
    </row>
    <row r="21" ht="15.75" customHeight="1">
      <c r="A21" s="303" t="s">
        <v>182</v>
      </c>
      <c r="B21" s="304" t="s">
        <v>112</v>
      </c>
      <c r="C21" s="304" t="s">
        <v>112</v>
      </c>
      <c r="D21" s="291" t="s">
        <v>330</v>
      </c>
      <c r="E21" s="287" t="s">
        <v>114</v>
      </c>
      <c r="F21" s="287" t="s">
        <v>114</v>
      </c>
      <c r="G21" s="286" t="s">
        <v>155</v>
      </c>
      <c r="H21" s="279" t="s">
        <v>144</v>
      </c>
      <c r="I21" s="278" t="s">
        <v>381</v>
      </c>
      <c r="J21" s="300" t="s">
        <v>114</v>
      </c>
      <c r="K21" s="300" t="s">
        <v>114</v>
      </c>
      <c r="L21" s="300" t="s">
        <v>114</v>
      </c>
      <c r="M21" s="305" t="s">
        <v>383</v>
      </c>
      <c r="N21" s="300" t="s">
        <v>114</v>
      </c>
      <c r="O21" s="300" t="s">
        <v>114</v>
      </c>
      <c r="P21" s="300" t="s">
        <v>114</v>
      </c>
      <c r="Q21" s="300" t="s">
        <v>114</v>
      </c>
      <c r="R21" s="291" t="s">
        <v>330</v>
      </c>
      <c r="S21" s="286" t="s">
        <v>155</v>
      </c>
      <c r="T21" s="300" t="s">
        <v>114</v>
      </c>
      <c r="U21" s="276" t="s">
        <v>379</v>
      </c>
      <c r="V21" s="275" t="s">
        <v>114</v>
      </c>
      <c r="W21" s="275" t="s">
        <v>114</v>
      </c>
      <c r="X21" s="306" t="s">
        <v>382</v>
      </c>
      <c r="Y21" s="300" t="s">
        <v>114</v>
      </c>
      <c r="Z21" s="307" t="s">
        <v>380</v>
      </c>
      <c r="AA21" s="286" t="s">
        <v>155</v>
      </c>
    </row>
    <row r="22"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</row>
    <row r="23">
      <c r="B23" s="274" t="s">
        <v>155</v>
      </c>
      <c r="C23" s="308" t="s">
        <v>389</v>
      </c>
      <c r="D23" s="189"/>
      <c r="E23" s="190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</row>
    <row r="24">
      <c r="B24" s="284" t="s">
        <v>112</v>
      </c>
      <c r="C24" s="309" t="s">
        <v>390</v>
      </c>
      <c r="D24" s="189"/>
      <c r="E24" s="190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</row>
    <row r="25">
      <c r="B25" s="276" t="s">
        <v>379</v>
      </c>
      <c r="C25" s="310" t="s">
        <v>391</v>
      </c>
      <c r="D25" s="189"/>
      <c r="E25" s="190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</row>
    <row r="26">
      <c r="B26" s="277" t="s">
        <v>380</v>
      </c>
      <c r="C26" s="311" t="s">
        <v>392</v>
      </c>
      <c r="D26" s="189"/>
      <c r="E26" s="190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</row>
    <row r="27">
      <c r="B27" s="282" t="s">
        <v>383</v>
      </c>
      <c r="C27" s="312" t="s">
        <v>383</v>
      </c>
      <c r="D27" s="189"/>
      <c r="E27" s="190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</row>
    <row r="28">
      <c r="B28" s="278" t="s">
        <v>381</v>
      </c>
      <c r="C28" s="313" t="s">
        <v>393</v>
      </c>
      <c r="D28" s="189"/>
      <c r="E28" s="190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</row>
    <row r="29">
      <c r="B29" s="279" t="s">
        <v>144</v>
      </c>
      <c r="C29" s="314" t="s">
        <v>394</v>
      </c>
      <c r="D29" s="189"/>
      <c r="E29" s="190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</row>
    <row r="30">
      <c r="B30" s="315" t="s">
        <v>114</v>
      </c>
      <c r="C30" s="316" t="s">
        <v>362</v>
      </c>
      <c r="D30" s="189"/>
      <c r="E30" s="190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</row>
    <row r="31">
      <c r="B31" s="280" t="s">
        <v>382</v>
      </c>
      <c r="C31" s="317" t="s">
        <v>395</v>
      </c>
      <c r="D31" s="189"/>
      <c r="E31" s="190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</row>
    <row r="32">
      <c r="B32" s="281" t="s">
        <v>330</v>
      </c>
      <c r="C32" s="318" t="s">
        <v>396</v>
      </c>
      <c r="D32" s="189"/>
      <c r="E32" s="190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</row>
    <row r="33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</row>
    <row r="3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</row>
    <row r="35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</row>
    <row r="36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</row>
    <row r="37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</row>
    <row r="38"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</row>
    <row r="39"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</row>
    <row r="40"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</row>
    <row r="41"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</row>
    <row r="42"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</row>
    <row r="43"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</row>
    <row r="44"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</row>
    <row r="45"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</row>
    <row r="46"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</row>
    <row r="47"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</row>
    <row r="48"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</row>
    <row r="49"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</row>
    <row r="50"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</row>
    <row r="51"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</row>
    <row r="52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</row>
    <row r="53"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</row>
    <row r="54"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</row>
    <row r="55"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</row>
    <row r="56"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</row>
    <row r="57"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</row>
    <row r="58"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</row>
    <row r="59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</row>
    <row r="60"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</row>
    <row r="61"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</row>
    <row r="62"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</row>
    <row r="63"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</row>
    <row r="64"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</row>
    <row r="65">
      <c r="B65" s="186"/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</row>
    <row r="66"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</row>
    <row r="67"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</row>
    <row r="68"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</row>
    <row r="69"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</row>
    <row r="70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</row>
    <row r="71"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</row>
    <row r="72"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</row>
    <row r="73"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</row>
    <row r="74"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</row>
    <row r="75"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</row>
    <row r="76"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</row>
    <row r="77"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</row>
    <row r="78"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</row>
    <row r="79"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</row>
    <row r="80"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</row>
    <row r="81"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</row>
    <row r="82"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</row>
    <row r="83"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</row>
    <row r="84"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</row>
    <row r="85"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</row>
    <row r="86"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</row>
    <row r="87"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</row>
    <row r="88"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</row>
    <row r="89"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</row>
    <row r="90"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</row>
    <row r="91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</row>
    <row r="92"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</row>
    <row r="93"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</row>
    <row r="94"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</row>
    <row r="95"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</row>
    <row r="96"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</row>
    <row r="97"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</row>
    <row r="98"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</row>
    <row r="99"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</row>
    <row r="100"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</row>
    <row r="101"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</row>
    <row r="102"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</row>
    <row r="103"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</row>
    <row r="104"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</row>
    <row r="105"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</row>
    <row r="106"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</row>
    <row r="107"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</row>
    <row r="108"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</row>
    <row r="109"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</row>
    <row r="110"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</row>
    <row r="111"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</row>
    <row r="112"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</row>
    <row r="113"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</row>
    <row r="114"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</row>
    <row r="115"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</row>
    <row r="116"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</row>
    <row r="117"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</row>
    <row r="118"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</row>
    <row r="119"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</row>
    <row r="120"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</row>
    <row r="121"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</row>
    <row r="122"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</row>
    <row r="123"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</row>
    <row r="124"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</row>
    <row r="125"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</row>
    <row r="126"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</row>
    <row r="127"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</row>
    <row r="128"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</row>
    <row r="129"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</row>
    <row r="130"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</row>
    <row r="131"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</row>
    <row r="132"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</row>
    <row r="133"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</row>
    <row r="134"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</row>
    <row r="135"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</row>
    <row r="136"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</row>
    <row r="137"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</row>
    <row r="138"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</row>
    <row r="139"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</row>
    <row r="140"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</row>
    <row r="141"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</row>
    <row r="142"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</row>
    <row r="143"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</row>
    <row r="144"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</row>
    <row r="145"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</row>
    <row r="146"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</row>
    <row r="147"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</row>
    <row r="148"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</row>
    <row r="149"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</row>
    <row r="150"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</row>
    <row r="151"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</row>
    <row r="152"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</row>
    <row r="153"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</row>
    <row r="154"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</row>
    <row r="155"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</row>
    <row r="156"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</row>
    <row r="157"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</row>
    <row r="158"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</row>
    <row r="159"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</row>
    <row r="160"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</row>
    <row r="161"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</row>
    <row r="162"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</row>
    <row r="163"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</row>
    <row r="164"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</row>
    <row r="165"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</row>
    <row r="166"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</row>
    <row r="167"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</row>
    <row r="168"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</row>
    <row r="169"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</row>
    <row r="170"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</row>
    <row r="171"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</row>
    <row r="172"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</row>
    <row r="173"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</row>
    <row r="174"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</row>
    <row r="175"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</row>
    <row r="176"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</row>
    <row r="177"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</row>
    <row r="178"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</row>
    <row r="179"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</row>
    <row r="180"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</row>
    <row r="181"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</row>
    <row r="182"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</row>
    <row r="183"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</row>
    <row r="184"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</row>
    <row r="185"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</row>
    <row r="186"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</row>
    <row r="187"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</row>
    <row r="188"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</row>
    <row r="189"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</row>
    <row r="190"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</row>
    <row r="191"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</row>
    <row r="192"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</row>
    <row r="193"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</row>
    <row r="194"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</row>
    <row r="195"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</row>
    <row r="196"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</row>
    <row r="197"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</row>
    <row r="198"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</row>
    <row r="199"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</row>
    <row r="200"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</row>
    <row r="201"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</row>
    <row r="202"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</row>
    <row r="203"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</row>
    <row r="204"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</row>
    <row r="205"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</row>
    <row r="206"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</row>
    <row r="207"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</row>
    <row r="208"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</row>
    <row r="209"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</row>
    <row r="210"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</row>
    <row r="211"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</row>
    <row r="212"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</row>
    <row r="213"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</row>
    <row r="214"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</row>
    <row r="215"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</row>
    <row r="216"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</row>
    <row r="217"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</row>
    <row r="218"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</row>
    <row r="219"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</row>
    <row r="220"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</row>
    <row r="221"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</row>
    <row r="222"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</row>
    <row r="223"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</row>
    <row r="224"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</row>
    <row r="225"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</row>
    <row r="226"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</row>
    <row r="227"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</row>
    <row r="228"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</row>
    <row r="229"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</row>
    <row r="230"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</row>
    <row r="231"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</row>
    <row r="232"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</row>
    <row r="233"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</row>
    <row r="234"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</row>
    <row r="235"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</row>
    <row r="236"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</row>
    <row r="237"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</row>
    <row r="238"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</row>
    <row r="239"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</row>
    <row r="240"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</row>
    <row r="241"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</row>
    <row r="242"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</row>
    <row r="243"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</row>
    <row r="244"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</row>
    <row r="245"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</row>
    <row r="246"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</row>
    <row r="247"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</row>
    <row r="248"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</row>
    <row r="249"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</row>
    <row r="250"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</row>
    <row r="251"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</row>
    <row r="252"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</row>
    <row r="253"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</row>
    <row r="254"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</row>
    <row r="255"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</row>
    <row r="256"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</row>
    <row r="257"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</row>
    <row r="258"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</row>
    <row r="259"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</row>
    <row r="260"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</row>
    <row r="261"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</row>
    <row r="262"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</row>
    <row r="263"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</row>
    <row r="264"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</row>
    <row r="265"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</row>
    <row r="266"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</row>
    <row r="267"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</row>
    <row r="268"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</row>
    <row r="269"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</row>
    <row r="270"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</row>
    <row r="271"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</row>
    <row r="272"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</row>
    <row r="273"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</row>
    <row r="274"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</row>
    <row r="275"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</row>
    <row r="276"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</row>
    <row r="277"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</row>
    <row r="278"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</row>
    <row r="279"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</row>
    <row r="280"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</row>
    <row r="281"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</row>
    <row r="282"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</row>
    <row r="283"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</row>
    <row r="284"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</row>
    <row r="285"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</row>
    <row r="286"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</row>
    <row r="287"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</row>
    <row r="288"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</row>
    <row r="289"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</row>
    <row r="290"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</row>
    <row r="291"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</row>
    <row r="292"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</row>
    <row r="293"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</row>
    <row r="294"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</row>
    <row r="295"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</row>
    <row r="296"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</row>
    <row r="297"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</row>
    <row r="298"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</row>
    <row r="299"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</row>
    <row r="300"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</row>
    <row r="301"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</row>
    <row r="302"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</row>
    <row r="303"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</row>
    <row r="304"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</row>
    <row r="305"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</row>
    <row r="306"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</row>
    <row r="307"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</row>
    <row r="308"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</row>
    <row r="309"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</row>
    <row r="310"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</row>
    <row r="311"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</row>
    <row r="312"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</row>
    <row r="313"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</row>
    <row r="314"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</row>
    <row r="315"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</row>
    <row r="316"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</row>
    <row r="317"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</row>
    <row r="318"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</row>
    <row r="319"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</row>
    <row r="320"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</row>
    <row r="321"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</row>
    <row r="322"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</row>
    <row r="323"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</row>
    <row r="324"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</row>
    <row r="325"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</row>
    <row r="326"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</row>
    <row r="327"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</row>
    <row r="328"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</row>
    <row r="329"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</row>
    <row r="330"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</row>
    <row r="331"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</row>
    <row r="332"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</row>
    <row r="333"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</row>
    <row r="334"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</row>
    <row r="335"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</row>
    <row r="336"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</row>
    <row r="337"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</row>
    <row r="338"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</row>
    <row r="339"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</row>
    <row r="340"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</row>
    <row r="341"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</row>
    <row r="342"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</row>
    <row r="343"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</row>
    <row r="344"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</row>
    <row r="345"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</row>
    <row r="346"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</row>
    <row r="347"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</row>
    <row r="348"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</row>
    <row r="349"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</row>
    <row r="350"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</row>
    <row r="351"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</row>
    <row r="352"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</row>
    <row r="353"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</row>
    <row r="354"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</row>
    <row r="355"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</row>
    <row r="356"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</row>
    <row r="357"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</row>
    <row r="358"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</row>
    <row r="359"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</row>
    <row r="360"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</row>
    <row r="361"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</row>
    <row r="362"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</row>
    <row r="363"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</row>
    <row r="364"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</row>
    <row r="365"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</row>
    <row r="366"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</row>
    <row r="367"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</row>
    <row r="368"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</row>
    <row r="369"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</row>
    <row r="370"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</row>
    <row r="371"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</row>
    <row r="372"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</row>
    <row r="373"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</row>
    <row r="374"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</row>
    <row r="375"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</row>
    <row r="376"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</row>
    <row r="377"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</row>
    <row r="378"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</row>
    <row r="379"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</row>
    <row r="380"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</row>
    <row r="381"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</row>
    <row r="382"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</row>
    <row r="383"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</row>
    <row r="384"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</row>
    <row r="385"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</row>
    <row r="386"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</row>
    <row r="387"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</row>
    <row r="388"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</row>
    <row r="389"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</row>
    <row r="390"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</row>
    <row r="391"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</row>
    <row r="392"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</row>
    <row r="393"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</row>
    <row r="394"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</row>
    <row r="395"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</row>
    <row r="396"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</row>
    <row r="397"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</row>
    <row r="398"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</row>
    <row r="399"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</row>
    <row r="400"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</row>
    <row r="401"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</row>
    <row r="402"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</row>
    <row r="403"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</row>
    <row r="404"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</row>
    <row r="405"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</row>
    <row r="406"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</row>
    <row r="407"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</row>
    <row r="408"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</row>
    <row r="409"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</row>
    <row r="410"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</row>
    <row r="411"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</row>
    <row r="412"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</row>
    <row r="413"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</row>
    <row r="414"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</row>
    <row r="415"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</row>
    <row r="416"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</row>
    <row r="417"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</row>
    <row r="418"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</row>
    <row r="419"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</row>
    <row r="420"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</row>
    <row r="421"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</row>
    <row r="422"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</row>
    <row r="423"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</row>
    <row r="424"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</row>
    <row r="425"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</row>
    <row r="426"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</row>
    <row r="427"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</row>
    <row r="428"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</row>
    <row r="429"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</row>
    <row r="430"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</row>
    <row r="431"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</row>
    <row r="432"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</row>
    <row r="433"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</row>
    <row r="434"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</row>
    <row r="435"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</row>
    <row r="436"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</row>
    <row r="437"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</row>
    <row r="438"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</row>
    <row r="439"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</row>
    <row r="440"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</row>
    <row r="441"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</row>
    <row r="442"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</row>
    <row r="443"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</row>
    <row r="444"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</row>
    <row r="445"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</row>
    <row r="446"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</row>
    <row r="447"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</row>
    <row r="448"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</row>
    <row r="449"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</row>
    <row r="450"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</row>
    <row r="451"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</row>
    <row r="452"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</row>
    <row r="453"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</row>
    <row r="454"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</row>
    <row r="455"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</row>
    <row r="456"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</row>
    <row r="457"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</row>
    <row r="458"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</row>
    <row r="459"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</row>
    <row r="460"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</row>
    <row r="461"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</row>
    <row r="462"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</row>
    <row r="463"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</row>
    <row r="464"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</row>
    <row r="465"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</row>
    <row r="466"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</row>
    <row r="467"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</row>
    <row r="468"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</row>
    <row r="469"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</row>
    <row r="470"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</row>
    <row r="471"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</row>
    <row r="472"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</row>
    <row r="473"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</row>
    <row r="474"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</row>
    <row r="475"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</row>
    <row r="476"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</row>
    <row r="477"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</row>
    <row r="478"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</row>
    <row r="479"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</row>
    <row r="480"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</row>
    <row r="481"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</row>
    <row r="482"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</row>
    <row r="483"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</row>
    <row r="484"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</row>
    <row r="485"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</row>
    <row r="486"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</row>
    <row r="487"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</row>
    <row r="488"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</row>
    <row r="489"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</row>
    <row r="490"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</row>
    <row r="491"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</row>
    <row r="492"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</row>
    <row r="493"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</row>
    <row r="494"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</row>
    <row r="495"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</row>
    <row r="496"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</row>
    <row r="497"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</row>
    <row r="498"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</row>
    <row r="499"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</row>
    <row r="500"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</row>
    <row r="501"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</row>
    <row r="502"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</row>
    <row r="503"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</row>
    <row r="504"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</row>
    <row r="505"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</row>
    <row r="506"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</row>
    <row r="507"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</row>
    <row r="508"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</row>
    <row r="509"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</row>
    <row r="510"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</row>
    <row r="511"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</row>
    <row r="512"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</row>
    <row r="513"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</row>
    <row r="514"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</row>
    <row r="515"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</row>
    <row r="516"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</row>
    <row r="517"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</row>
    <row r="518"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</row>
    <row r="519"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</row>
    <row r="520"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</row>
    <row r="521"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</row>
    <row r="522"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</row>
    <row r="523"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</row>
    <row r="524"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</row>
    <row r="525"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</row>
    <row r="526"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</row>
    <row r="527"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</row>
    <row r="528"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</row>
    <row r="529"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</row>
    <row r="530"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</row>
    <row r="531"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</row>
    <row r="532"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</row>
    <row r="533"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</row>
    <row r="534"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</row>
    <row r="535"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</row>
    <row r="536"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</row>
    <row r="537"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</row>
    <row r="538"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</row>
    <row r="539"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</row>
    <row r="540"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</row>
    <row r="541"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</row>
    <row r="542"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</row>
    <row r="543"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</row>
    <row r="544"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</row>
    <row r="545"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</row>
    <row r="546"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</row>
    <row r="547"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</row>
    <row r="548"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</row>
    <row r="549"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</row>
    <row r="550"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</row>
    <row r="551"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</row>
    <row r="552"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</row>
    <row r="553"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</row>
    <row r="554"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</row>
    <row r="555"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</row>
    <row r="556"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</row>
    <row r="557"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</row>
    <row r="558"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</row>
    <row r="559"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</row>
    <row r="560"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</row>
    <row r="561"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</row>
    <row r="562"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</row>
    <row r="563"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</row>
    <row r="564"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</row>
    <row r="565"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</row>
    <row r="566"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</row>
    <row r="567"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</row>
    <row r="568"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</row>
    <row r="569"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</row>
    <row r="570"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</row>
    <row r="571"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</row>
    <row r="572"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</row>
    <row r="573"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</row>
    <row r="574"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</row>
    <row r="575"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</row>
    <row r="576"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</row>
    <row r="577"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</row>
    <row r="578"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</row>
    <row r="579"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</row>
    <row r="580"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</row>
    <row r="581"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</row>
    <row r="582"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</row>
    <row r="583"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</row>
    <row r="584"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</row>
    <row r="585"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</row>
    <row r="586"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</row>
    <row r="587"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</row>
    <row r="588"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</row>
    <row r="589"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</row>
    <row r="590"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</row>
    <row r="591"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</row>
    <row r="592"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</row>
    <row r="593"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</row>
    <row r="594"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</row>
    <row r="595"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</row>
    <row r="596"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</row>
    <row r="597"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</row>
    <row r="598"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</row>
    <row r="599"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</row>
    <row r="600"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</row>
    <row r="601"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</row>
    <row r="602"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</row>
    <row r="603"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</row>
    <row r="604"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</row>
    <row r="605"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</row>
    <row r="606"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</row>
    <row r="607"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</row>
    <row r="608"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</row>
    <row r="609"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</row>
    <row r="610"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</row>
    <row r="611"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</row>
    <row r="612"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</row>
    <row r="613"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</row>
    <row r="614"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</row>
    <row r="615"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</row>
    <row r="616"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</row>
    <row r="617"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</row>
    <row r="618"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</row>
    <row r="619"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</row>
    <row r="620"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</row>
    <row r="621"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</row>
    <row r="622"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</row>
    <row r="623"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</row>
    <row r="624"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</row>
    <row r="625"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</row>
    <row r="626"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</row>
    <row r="627"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</row>
    <row r="628"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</row>
    <row r="629"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</row>
    <row r="630"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</row>
    <row r="631"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</row>
    <row r="632"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</row>
    <row r="633"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</row>
    <row r="634"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</row>
    <row r="635"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</row>
    <row r="636"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</row>
    <row r="637"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</row>
    <row r="638"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</row>
    <row r="639"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</row>
    <row r="640"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</row>
    <row r="641"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</row>
    <row r="642"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</row>
    <row r="643"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</row>
    <row r="644"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</row>
    <row r="645"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</row>
    <row r="646"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</row>
    <row r="647"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</row>
    <row r="648"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</row>
    <row r="649"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</row>
    <row r="650"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</row>
    <row r="651"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</row>
    <row r="652"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</row>
    <row r="653"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</row>
    <row r="654"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</row>
    <row r="655"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</row>
    <row r="656"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</row>
    <row r="657"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</row>
    <row r="658"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</row>
    <row r="659"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</row>
    <row r="660"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</row>
    <row r="661"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</row>
    <row r="662"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</row>
    <row r="663"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</row>
    <row r="664"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</row>
    <row r="665"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</row>
    <row r="666"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</row>
    <row r="667"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</row>
    <row r="668"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</row>
    <row r="669"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</row>
    <row r="670"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</row>
    <row r="671"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</row>
    <row r="672"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</row>
    <row r="673"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</row>
    <row r="674"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</row>
    <row r="675"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</row>
    <row r="676"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</row>
    <row r="677"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</row>
    <row r="678"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</row>
    <row r="679"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</row>
    <row r="680"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</row>
    <row r="681"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</row>
    <row r="682"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</row>
    <row r="683"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</row>
    <row r="684"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</row>
    <row r="685"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</row>
    <row r="686"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</row>
    <row r="687"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</row>
    <row r="688"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</row>
    <row r="689"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</row>
    <row r="690"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</row>
    <row r="691"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</row>
    <row r="692"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</row>
    <row r="693"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</row>
    <row r="694"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</row>
    <row r="695"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</row>
    <row r="696"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</row>
    <row r="697"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</row>
    <row r="698"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</row>
    <row r="699"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</row>
    <row r="700"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</row>
    <row r="701"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</row>
    <row r="702"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</row>
    <row r="703"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</row>
    <row r="704"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</row>
    <row r="705"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</row>
    <row r="706"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</row>
    <row r="707"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</row>
    <row r="708"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</row>
    <row r="709"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</row>
    <row r="710"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</row>
    <row r="711"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</row>
    <row r="712"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</row>
    <row r="713"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</row>
    <row r="714"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</row>
    <row r="715"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</row>
    <row r="716"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</row>
    <row r="717"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</row>
    <row r="718"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</row>
    <row r="719"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</row>
    <row r="720"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</row>
    <row r="721"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</row>
    <row r="722"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</row>
    <row r="723"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</row>
    <row r="724"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</row>
    <row r="725"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</row>
    <row r="726"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</row>
    <row r="727"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</row>
    <row r="728"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</row>
    <row r="729"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</row>
    <row r="730"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</row>
    <row r="731"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</row>
    <row r="732"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</row>
    <row r="733"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</row>
    <row r="734"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</row>
    <row r="735"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</row>
    <row r="736"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</row>
    <row r="737"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</row>
    <row r="738"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</row>
    <row r="739"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</row>
    <row r="740"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</row>
    <row r="741"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</row>
    <row r="742"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</row>
    <row r="743"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</row>
    <row r="744"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</row>
    <row r="745"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</row>
    <row r="746"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</row>
    <row r="747"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</row>
    <row r="748"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</row>
    <row r="749"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</row>
    <row r="750"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</row>
    <row r="751"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</row>
    <row r="752"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</row>
    <row r="753"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</row>
    <row r="754"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</row>
    <row r="755"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</row>
    <row r="756"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</row>
    <row r="757"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</row>
    <row r="758"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</row>
    <row r="759"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</row>
    <row r="760"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</row>
    <row r="761"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</row>
    <row r="762"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</row>
    <row r="763"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</row>
    <row r="764"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</row>
    <row r="765"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</row>
    <row r="766"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</row>
    <row r="767"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</row>
    <row r="768"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</row>
    <row r="769"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</row>
    <row r="770"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</row>
    <row r="771"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</row>
    <row r="772"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</row>
    <row r="773"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</row>
    <row r="774"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</row>
    <row r="775"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</row>
    <row r="776"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</row>
    <row r="777"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</row>
    <row r="778"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</row>
    <row r="779"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</row>
    <row r="780"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</row>
    <row r="781"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</row>
    <row r="782"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</row>
    <row r="783"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</row>
    <row r="784"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</row>
    <row r="785"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</row>
    <row r="786"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</row>
    <row r="787"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</row>
    <row r="788"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</row>
    <row r="789"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</row>
    <row r="790"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</row>
    <row r="791"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</row>
    <row r="792"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</row>
    <row r="793"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</row>
    <row r="794"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</row>
    <row r="795"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</row>
    <row r="796"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</row>
    <row r="797"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</row>
    <row r="798"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</row>
    <row r="799"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</row>
    <row r="800"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</row>
    <row r="801"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</row>
    <row r="802"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</row>
    <row r="803"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</row>
    <row r="804"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</row>
    <row r="805"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</row>
    <row r="806"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</row>
    <row r="807"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</row>
    <row r="808"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</row>
    <row r="809"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</row>
    <row r="810"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</row>
    <row r="811"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</row>
    <row r="812"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</row>
    <row r="813"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</row>
    <row r="814"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</row>
    <row r="815"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</row>
    <row r="816"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</row>
    <row r="817"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</row>
    <row r="818"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</row>
    <row r="819"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</row>
    <row r="820"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</row>
    <row r="821"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</row>
    <row r="822"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</row>
    <row r="823"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</row>
    <row r="824"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</row>
    <row r="825"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</row>
    <row r="826"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</row>
    <row r="827"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</row>
    <row r="828"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</row>
    <row r="829"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</row>
    <row r="830"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</row>
    <row r="831"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</row>
    <row r="832"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</row>
    <row r="833"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</row>
    <row r="834"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</row>
    <row r="835"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</row>
    <row r="836"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</row>
    <row r="837"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</row>
    <row r="838"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</row>
    <row r="839"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</row>
    <row r="840"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</row>
    <row r="841"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</row>
    <row r="842"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</row>
    <row r="843"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</row>
    <row r="844"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</row>
    <row r="845"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</row>
    <row r="846"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</row>
    <row r="847"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</row>
    <row r="848"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</row>
    <row r="849"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</row>
    <row r="850"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</row>
    <row r="851"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</row>
    <row r="852"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</row>
    <row r="853"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</row>
    <row r="854"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</row>
    <row r="855"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</row>
    <row r="856"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</row>
    <row r="857"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</row>
    <row r="858"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</row>
    <row r="859"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</row>
    <row r="860"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</row>
    <row r="861"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</row>
    <row r="862"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</row>
    <row r="863"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</row>
    <row r="864"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</row>
    <row r="865"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</row>
    <row r="866"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</row>
    <row r="867"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</row>
    <row r="868"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</row>
    <row r="869"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</row>
    <row r="870"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</row>
    <row r="871"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</row>
    <row r="872"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</row>
    <row r="873"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</row>
    <row r="874"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</row>
    <row r="875"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</row>
    <row r="876"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</row>
    <row r="877"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</row>
    <row r="878"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</row>
    <row r="879"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</row>
    <row r="880"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</row>
    <row r="881"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</row>
    <row r="882"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</row>
    <row r="883"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</row>
    <row r="884"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</row>
    <row r="885"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</row>
    <row r="886"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</row>
    <row r="887"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</row>
    <row r="888"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</row>
    <row r="889"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</row>
    <row r="890"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</row>
    <row r="891"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</row>
    <row r="892"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</row>
    <row r="893"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</row>
    <row r="894"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</row>
    <row r="895"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</row>
    <row r="896"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</row>
    <row r="897"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</row>
    <row r="898"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</row>
    <row r="899"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</row>
    <row r="900"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</row>
    <row r="901"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</row>
    <row r="902"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</row>
    <row r="903"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</row>
    <row r="904"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</row>
    <row r="905"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</row>
    <row r="906"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</row>
    <row r="907"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</row>
    <row r="908"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</row>
    <row r="909"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</row>
    <row r="910"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</row>
    <row r="911"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</row>
    <row r="912"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</row>
    <row r="913"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</row>
    <row r="914"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</row>
    <row r="915"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</row>
    <row r="916"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</row>
    <row r="917"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</row>
    <row r="918"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</row>
    <row r="919"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</row>
    <row r="920"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</row>
    <row r="921"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</row>
    <row r="922"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</row>
    <row r="923"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</row>
    <row r="924"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</row>
    <row r="925"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</row>
    <row r="926"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</row>
    <row r="927"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</row>
    <row r="928"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</row>
    <row r="929"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</row>
    <row r="930"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</row>
    <row r="931"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</row>
    <row r="932"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</row>
    <row r="933"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</row>
    <row r="934"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</row>
    <row r="935"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</row>
    <row r="936"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</row>
    <row r="937"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</row>
    <row r="938"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</row>
    <row r="939"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</row>
    <row r="940"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</row>
    <row r="941"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</row>
    <row r="942"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</row>
    <row r="943"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</row>
    <row r="944"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</row>
    <row r="945"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</row>
    <row r="946"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</row>
    <row r="947"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</row>
    <row r="948"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</row>
    <row r="949"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</row>
    <row r="950"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</row>
    <row r="951"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</row>
    <row r="952"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</row>
    <row r="953"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</row>
    <row r="954"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</row>
    <row r="955"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</row>
    <row r="956"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</row>
    <row r="957"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</row>
    <row r="958"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</row>
    <row r="959"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</row>
    <row r="960"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</row>
    <row r="961"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</row>
    <row r="962"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</row>
    <row r="963"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</row>
    <row r="964"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</row>
    <row r="965"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</row>
    <row r="966"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</row>
  </sheetData>
  <mergeCells count="10">
    <mergeCell ref="C30:E30"/>
    <mergeCell ref="C31:E31"/>
    <mergeCell ref="C32:E32"/>
    <mergeCell ref="C23:E23"/>
    <mergeCell ref="C24:E24"/>
    <mergeCell ref="C25:E25"/>
    <mergeCell ref="C26:E26"/>
    <mergeCell ref="C27:E27"/>
    <mergeCell ref="C28:E28"/>
    <mergeCell ref="C29:E29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24.86"/>
    <col customWidth="1" min="2" max="8" width="5.29"/>
    <col customWidth="1" min="9" max="9" width="6.86"/>
    <col customWidth="1" min="10" max="21" width="5.29"/>
    <col customWidth="1" min="22" max="22" width="6.43"/>
    <col customWidth="1" min="23" max="27" width="5.29"/>
    <col customWidth="1" min="28" max="28" width="6.29"/>
  </cols>
  <sheetData>
    <row r="1">
      <c r="A1" s="266"/>
      <c r="B1" s="319" t="s">
        <v>300</v>
      </c>
      <c r="C1" s="167" t="s">
        <v>301</v>
      </c>
      <c r="D1" s="168" t="s">
        <v>302</v>
      </c>
      <c r="E1" s="171" t="s">
        <v>303</v>
      </c>
      <c r="F1" s="166" t="s">
        <v>304</v>
      </c>
      <c r="G1" s="167" t="s">
        <v>305</v>
      </c>
      <c r="H1" s="170" t="s">
        <v>306</v>
      </c>
      <c r="I1" s="171" t="s">
        <v>307</v>
      </c>
      <c r="J1" s="166" t="s">
        <v>308</v>
      </c>
      <c r="K1" s="167" t="s">
        <v>309</v>
      </c>
      <c r="L1" s="168" t="s">
        <v>310</v>
      </c>
      <c r="M1" s="171" t="s">
        <v>311</v>
      </c>
      <c r="N1" s="319" t="s">
        <v>312</v>
      </c>
      <c r="O1" s="173" t="s">
        <v>313</v>
      </c>
      <c r="P1" s="170" t="s">
        <v>314</v>
      </c>
      <c r="Q1" s="171" t="s">
        <v>315</v>
      </c>
      <c r="R1" s="172" t="s">
        <v>316</v>
      </c>
      <c r="S1" s="173" t="s">
        <v>317</v>
      </c>
      <c r="T1" s="320" t="s">
        <v>318</v>
      </c>
      <c r="U1" s="168" t="s">
        <v>319</v>
      </c>
      <c r="V1" s="173" t="s">
        <v>320</v>
      </c>
      <c r="W1" s="173" t="s">
        <v>321</v>
      </c>
      <c r="X1" s="170" t="s">
        <v>322</v>
      </c>
      <c r="Y1" s="169" t="s">
        <v>323</v>
      </c>
      <c r="Z1" s="172" t="s">
        <v>324</v>
      </c>
      <c r="AA1" s="320" t="s">
        <v>325</v>
      </c>
      <c r="AB1" s="321" t="s">
        <v>300</v>
      </c>
    </row>
    <row r="2" ht="19.5" customHeight="1">
      <c r="B2" s="174">
        <v>44743.0</v>
      </c>
      <c r="C2" s="175">
        <v>45852.0</v>
      </c>
      <c r="D2" s="176">
        <v>45866.0</v>
      </c>
      <c r="E2" s="176">
        <v>45880.0</v>
      </c>
      <c r="F2" s="177">
        <v>45894.0</v>
      </c>
      <c r="G2" s="177">
        <v>45908.0</v>
      </c>
      <c r="H2" s="176">
        <v>45922.0</v>
      </c>
      <c r="I2" s="176">
        <v>45936.0</v>
      </c>
      <c r="J2" s="178">
        <v>45950.0</v>
      </c>
      <c r="K2" s="177">
        <v>45964.0</v>
      </c>
      <c r="L2" s="179">
        <v>45978.0</v>
      </c>
      <c r="M2" s="179">
        <v>45992.0</v>
      </c>
      <c r="N2" s="176">
        <v>46006.0</v>
      </c>
      <c r="O2" s="177">
        <v>46020.0</v>
      </c>
      <c r="P2" s="179">
        <v>45669.0</v>
      </c>
      <c r="Q2" s="179">
        <v>45683.0</v>
      </c>
      <c r="R2" s="180">
        <v>45697.0</v>
      </c>
      <c r="S2" s="180">
        <v>45711.0</v>
      </c>
      <c r="T2" s="176">
        <v>45725.0</v>
      </c>
      <c r="U2" s="176">
        <v>45739.0</v>
      </c>
      <c r="V2" s="180">
        <v>45753.0</v>
      </c>
      <c r="W2" s="176">
        <v>45767.0</v>
      </c>
      <c r="X2" s="179">
        <v>45781.0</v>
      </c>
      <c r="Y2" s="179">
        <v>45795.0</v>
      </c>
      <c r="Z2" s="180">
        <v>45809.0</v>
      </c>
      <c r="AA2" s="177">
        <v>45823.0</v>
      </c>
      <c r="AB2" s="322" t="s">
        <v>397</v>
      </c>
    </row>
    <row r="3" ht="15.75" customHeight="1">
      <c r="A3" s="38" t="s">
        <v>180</v>
      </c>
      <c r="B3" s="323" t="s">
        <v>398</v>
      </c>
      <c r="C3" s="283" t="s">
        <v>114</v>
      </c>
      <c r="D3" s="274" t="s">
        <v>155</v>
      </c>
      <c r="E3" s="283" t="s">
        <v>114</v>
      </c>
      <c r="F3" s="283" t="s">
        <v>114</v>
      </c>
      <c r="G3" s="276" t="s">
        <v>379</v>
      </c>
      <c r="H3" s="274" t="s">
        <v>155</v>
      </c>
      <c r="I3" s="276" t="s">
        <v>379</v>
      </c>
      <c r="J3" s="283" t="s">
        <v>114</v>
      </c>
      <c r="K3" s="283" t="s">
        <v>114</v>
      </c>
      <c r="L3" s="283" t="s">
        <v>114</v>
      </c>
      <c r="M3" s="283" t="s">
        <v>114</v>
      </c>
      <c r="N3" s="281" t="s">
        <v>330</v>
      </c>
      <c r="O3" s="283" t="s">
        <v>114</v>
      </c>
      <c r="P3" s="283" t="s">
        <v>114</v>
      </c>
      <c r="Q3" s="276" t="s">
        <v>379</v>
      </c>
      <c r="R3" s="276" t="s">
        <v>379</v>
      </c>
      <c r="S3" s="283" t="s">
        <v>114</v>
      </c>
      <c r="T3" s="283" t="s">
        <v>114</v>
      </c>
      <c r="U3" s="283" t="s">
        <v>114</v>
      </c>
      <c r="V3" s="283" t="s">
        <v>114</v>
      </c>
      <c r="W3" s="283" t="s">
        <v>114</v>
      </c>
      <c r="X3" s="274" t="s">
        <v>155</v>
      </c>
      <c r="Y3" s="281" t="s">
        <v>330</v>
      </c>
      <c r="Z3" s="283" t="s">
        <v>114</v>
      </c>
      <c r="AA3" s="283" t="s">
        <v>114</v>
      </c>
      <c r="AB3" s="55"/>
    </row>
    <row r="4" ht="15.75" customHeight="1">
      <c r="A4" s="38" t="s">
        <v>163</v>
      </c>
      <c r="B4" s="300" t="s">
        <v>114</v>
      </c>
      <c r="C4" s="281" t="s">
        <v>330</v>
      </c>
      <c r="D4" s="275" t="s">
        <v>114</v>
      </c>
      <c r="E4" s="323" t="s">
        <v>398</v>
      </c>
      <c r="F4" s="275" t="s">
        <v>114</v>
      </c>
      <c r="G4" s="283" t="s">
        <v>114</v>
      </c>
      <c r="H4" s="283" t="s">
        <v>114</v>
      </c>
      <c r="I4" s="276" t="s">
        <v>379</v>
      </c>
      <c r="J4" s="274" t="s">
        <v>155</v>
      </c>
      <c r="K4" s="283" t="s">
        <v>114</v>
      </c>
      <c r="L4" s="274" t="s">
        <v>155</v>
      </c>
      <c r="M4" s="283" t="s">
        <v>114</v>
      </c>
      <c r="N4" s="281" t="s">
        <v>330</v>
      </c>
      <c r="O4" s="283" t="s">
        <v>114</v>
      </c>
      <c r="P4" s="283" t="s">
        <v>114</v>
      </c>
      <c r="Q4" s="274" t="s">
        <v>155</v>
      </c>
      <c r="R4" s="283" t="s">
        <v>114</v>
      </c>
      <c r="S4" s="283" t="s">
        <v>114</v>
      </c>
      <c r="T4" s="283" t="s">
        <v>114</v>
      </c>
      <c r="U4" s="283" t="s">
        <v>114</v>
      </c>
      <c r="V4" s="276" t="s">
        <v>379</v>
      </c>
      <c r="W4" s="283" t="s">
        <v>114</v>
      </c>
      <c r="X4" s="276" t="s">
        <v>379</v>
      </c>
      <c r="Y4" s="276" t="s">
        <v>379</v>
      </c>
      <c r="Z4" s="283" t="s">
        <v>114</v>
      </c>
      <c r="AA4" s="283" t="s">
        <v>114</v>
      </c>
      <c r="AB4" s="55"/>
    </row>
    <row r="5" ht="15.75" customHeight="1">
      <c r="A5" s="83" t="s">
        <v>165</v>
      </c>
      <c r="B5" s="281" t="s">
        <v>330</v>
      </c>
      <c r="C5" s="274" t="s">
        <v>155</v>
      </c>
      <c r="D5" s="300" t="s">
        <v>114</v>
      </c>
      <c r="E5" s="300" t="s">
        <v>114</v>
      </c>
      <c r="F5" s="300" t="s">
        <v>114</v>
      </c>
      <c r="G5" s="276" t="s">
        <v>379</v>
      </c>
      <c r="H5" s="300" t="s">
        <v>114</v>
      </c>
      <c r="I5" s="300" t="s">
        <v>114</v>
      </c>
      <c r="J5" s="276" t="s">
        <v>379</v>
      </c>
      <c r="K5" s="300" t="s">
        <v>114</v>
      </c>
      <c r="L5" s="300" t="s">
        <v>114</v>
      </c>
      <c r="M5" s="300" t="s">
        <v>114</v>
      </c>
      <c r="N5" s="300" t="s">
        <v>114</v>
      </c>
      <c r="O5" s="276" t="s">
        <v>379</v>
      </c>
      <c r="P5" s="300" t="s">
        <v>114</v>
      </c>
      <c r="Q5" s="300" t="s">
        <v>114</v>
      </c>
      <c r="R5" s="275" t="s">
        <v>114</v>
      </c>
      <c r="S5" s="283" t="s">
        <v>114</v>
      </c>
      <c r="T5" s="274" t="s">
        <v>155</v>
      </c>
      <c r="U5" s="276" t="s">
        <v>379</v>
      </c>
      <c r="V5" s="300" t="s">
        <v>114</v>
      </c>
      <c r="W5" s="274" t="s">
        <v>155</v>
      </c>
      <c r="X5" s="300" t="s">
        <v>114</v>
      </c>
      <c r="Y5" s="323" t="s">
        <v>398</v>
      </c>
      <c r="Z5" s="283" t="s">
        <v>114</v>
      </c>
      <c r="AA5" s="281" t="s">
        <v>330</v>
      </c>
      <c r="AB5" s="55"/>
    </row>
    <row r="6" ht="15.75" customHeight="1">
      <c r="A6" s="38" t="s">
        <v>147</v>
      </c>
      <c r="B6" s="300" t="s">
        <v>114</v>
      </c>
      <c r="C6" s="283" t="s">
        <v>114</v>
      </c>
      <c r="D6" s="274" t="s">
        <v>155</v>
      </c>
      <c r="E6" s="283" t="s">
        <v>114</v>
      </c>
      <c r="F6" s="283" t="s">
        <v>114</v>
      </c>
      <c r="G6" s="274" t="s">
        <v>155</v>
      </c>
      <c r="H6" s="283" t="s">
        <v>114</v>
      </c>
      <c r="I6" s="283" t="s">
        <v>114</v>
      </c>
      <c r="J6" s="274" t="s">
        <v>155</v>
      </c>
      <c r="K6" s="283" t="s">
        <v>399</v>
      </c>
      <c r="L6" s="281" t="s">
        <v>330</v>
      </c>
      <c r="M6" s="281" t="s">
        <v>400</v>
      </c>
      <c r="N6" s="276" t="s">
        <v>379</v>
      </c>
      <c r="O6" s="276" t="s">
        <v>379</v>
      </c>
      <c r="P6" s="283" t="s">
        <v>114</v>
      </c>
      <c r="Q6" s="283" t="s">
        <v>114</v>
      </c>
      <c r="R6" s="283" t="s">
        <v>114</v>
      </c>
      <c r="S6" s="324" t="s">
        <v>401</v>
      </c>
      <c r="T6" s="283" t="s">
        <v>114</v>
      </c>
      <c r="U6" s="300" t="s">
        <v>114</v>
      </c>
      <c r="V6" s="323" t="s">
        <v>398</v>
      </c>
      <c r="W6" s="283" t="s">
        <v>114</v>
      </c>
      <c r="X6" s="283" t="s">
        <v>114</v>
      </c>
      <c r="Y6" s="283" t="s">
        <v>114</v>
      </c>
      <c r="Z6" s="283" t="s">
        <v>114</v>
      </c>
      <c r="AA6" s="283" t="s">
        <v>114</v>
      </c>
      <c r="AB6" s="55"/>
    </row>
    <row r="7" ht="15.75" customHeight="1">
      <c r="A7" s="118" t="s">
        <v>167</v>
      </c>
      <c r="B7" s="300" t="s">
        <v>114</v>
      </c>
      <c r="C7" s="323" t="s">
        <v>398</v>
      </c>
      <c r="D7" s="283" t="s">
        <v>114</v>
      </c>
      <c r="E7" s="325" t="s">
        <v>363</v>
      </c>
      <c r="F7" s="283" t="s">
        <v>114</v>
      </c>
      <c r="G7" s="274" t="s">
        <v>155</v>
      </c>
      <c r="H7" s="281" t="s">
        <v>330</v>
      </c>
      <c r="I7" s="283" t="s">
        <v>114</v>
      </c>
      <c r="J7" s="283" t="s">
        <v>114</v>
      </c>
      <c r="K7" s="283" t="s">
        <v>114</v>
      </c>
      <c r="L7" s="281" t="s">
        <v>330</v>
      </c>
      <c r="M7" s="274" t="s">
        <v>155</v>
      </c>
      <c r="N7" s="283" t="s">
        <v>114</v>
      </c>
      <c r="O7" s="283" t="s">
        <v>114</v>
      </c>
      <c r="P7" s="283" t="s">
        <v>114</v>
      </c>
      <c r="Q7" s="276" t="s">
        <v>379</v>
      </c>
      <c r="R7" s="283" t="s">
        <v>114</v>
      </c>
      <c r="S7" s="283" t="s">
        <v>114</v>
      </c>
      <c r="T7" s="275" t="s">
        <v>114</v>
      </c>
      <c r="U7" s="283" t="s">
        <v>114</v>
      </c>
      <c r="V7" s="324" t="s">
        <v>402</v>
      </c>
      <c r="W7" s="283" t="s">
        <v>114</v>
      </c>
      <c r="X7" s="283" t="s">
        <v>114</v>
      </c>
      <c r="Y7" s="283" t="s">
        <v>114</v>
      </c>
      <c r="Z7" s="274" t="s">
        <v>155</v>
      </c>
      <c r="AA7" s="276" t="s">
        <v>379</v>
      </c>
      <c r="AB7" s="276" t="s">
        <v>379</v>
      </c>
    </row>
    <row r="8" ht="15.75" customHeight="1">
      <c r="A8" s="38" t="s">
        <v>152</v>
      </c>
      <c r="B8" s="276" t="s">
        <v>379</v>
      </c>
      <c r="C8" s="274" t="s">
        <v>155</v>
      </c>
      <c r="D8" s="276" t="s">
        <v>379</v>
      </c>
      <c r="E8" s="283" t="s">
        <v>114</v>
      </c>
      <c r="F8" s="283" t="s">
        <v>114</v>
      </c>
      <c r="G8" s="283" t="s">
        <v>114</v>
      </c>
      <c r="H8" s="283" t="s">
        <v>114</v>
      </c>
      <c r="I8" s="283" t="s">
        <v>114</v>
      </c>
      <c r="J8" s="283" t="s">
        <v>114</v>
      </c>
      <c r="K8" s="276" t="s">
        <v>379</v>
      </c>
      <c r="L8" s="283" t="s">
        <v>114</v>
      </c>
      <c r="M8" s="283" t="s">
        <v>114</v>
      </c>
      <c r="N8" s="281" t="s">
        <v>330</v>
      </c>
      <c r="O8" s="283" t="s">
        <v>114</v>
      </c>
      <c r="P8" s="276" t="s">
        <v>379</v>
      </c>
      <c r="Q8" s="283" t="s">
        <v>114</v>
      </c>
      <c r="R8" s="286" t="s">
        <v>155</v>
      </c>
      <c r="S8" s="323" t="s">
        <v>398</v>
      </c>
      <c r="T8" s="283" t="s">
        <v>114</v>
      </c>
      <c r="U8" s="283" t="s">
        <v>114</v>
      </c>
      <c r="V8" s="283" t="s">
        <v>114</v>
      </c>
      <c r="W8" s="274" t="s">
        <v>155</v>
      </c>
      <c r="X8" s="281" t="s">
        <v>330</v>
      </c>
      <c r="Y8" s="283" t="s">
        <v>114</v>
      </c>
      <c r="Z8" s="283" t="s">
        <v>114</v>
      </c>
      <c r="AA8" s="283" t="s">
        <v>114</v>
      </c>
      <c r="AB8" s="55"/>
    </row>
    <row r="9" ht="15.75" customHeight="1">
      <c r="A9" s="303" t="s">
        <v>182</v>
      </c>
      <c r="B9" s="326" t="s">
        <v>112</v>
      </c>
      <c r="C9" s="326" t="s">
        <v>112</v>
      </c>
      <c r="D9" s="291" t="s">
        <v>330</v>
      </c>
      <c r="E9" s="287" t="s">
        <v>114</v>
      </c>
      <c r="F9" s="287" t="s">
        <v>114</v>
      </c>
      <c r="G9" s="286" t="s">
        <v>155</v>
      </c>
      <c r="H9" s="294" t="s">
        <v>144</v>
      </c>
      <c r="I9" s="293" t="s">
        <v>381</v>
      </c>
      <c r="J9" s="300" t="s">
        <v>114</v>
      </c>
      <c r="K9" s="300" t="s">
        <v>114</v>
      </c>
      <c r="L9" s="300" t="s">
        <v>114</v>
      </c>
      <c r="M9" s="327" t="s">
        <v>383</v>
      </c>
      <c r="N9" s="300" t="s">
        <v>114</v>
      </c>
      <c r="O9" s="300" t="s">
        <v>114</v>
      </c>
      <c r="P9" s="300" t="s">
        <v>114</v>
      </c>
      <c r="Q9" s="300" t="s">
        <v>114</v>
      </c>
      <c r="R9" s="291" t="s">
        <v>330</v>
      </c>
      <c r="S9" s="283" t="s">
        <v>114</v>
      </c>
      <c r="T9" s="286" t="s">
        <v>155</v>
      </c>
      <c r="U9" s="276" t="s">
        <v>379</v>
      </c>
      <c r="V9" s="292" t="s">
        <v>114</v>
      </c>
      <c r="W9" s="292" t="s">
        <v>114</v>
      </c>
      <c r="X9" s="285" t="s">
        <v>382</v>
      </c>
      <c r="Y9" s="300" t="s">
        <v>114</v>
      </c>
      <c r="Z9" s="328" t="s">
        <v>380</v>
      </c>
      <c r="AA9" s="286" t="s">
        <v>155</v>
      </c>
      <c r="AB9" s="55"/>
    </row>
    <row r="10" ht="16.5" customHeight="1">
      <c r="A10" s="118" t="s">
        <v>185</v>
      </c>
      <c r="B10" s="276" t="s">
        <v>379</v>
      </c>
      <c r="C10" s="283" t="s">
        <v>114</v>
      </c>
      <c r="D10" s="283" t="s">
        <v>114</v>
      </c>
      <c r="E10" s="283" t="s">
        <v>114</v>
      </c>
      <c r="F10" s="276" t="s">
        <v>379</v>
      </c>
      <c r="G10" s="283" t="s">
        <v>114</v>
      </c>
      <c r="H10" s="283" t="s">
        <v>114</v>
      </c>
      <c r="I10" s="283" t="s">
        <v>114</v>
      </c>
      <c r="J10" s="274" t="s">
        <v>155</v>
      </c>
      <c r="K10" s="323" t="s">
        <v>398</v>
      </c>
      <c r="L10" s="283" t="s">
        <v>114</v>
      </c>
      <c r="M10" s="283" t="s">
        <v>114</v>
      </c>
      <c r="N10" s="281" t="s">
        <v>330</v>
      </c>
      <c r="O10" s="283" t="s">
        <v>114</v>
      </c>
      <c r="P10" s="283" t="s">
        <v>114</v>
      </c>
      <c r="Q10" s="283" t="s">
        <v>114</v>
      </c>
      <c r="R10" s="276" t="s">
        <v>379</v>
      </c>
      <c r="S10" s="283" t="s">
        <v>114</v>
      </c>
      <c r="T10" s="283" t="s">
        <v>114</v>
      </c>
      <c r="U10" s="276" t="s">
        <v>379</v>
      </c>
      <c r="V10" s="274" t="s">
        <v>155</v>
      </c>
      <c r="W10" s="281" t="s">
        <v>330</v>
      </c>
      <c r="X10" s="283" t="s">
        <v>114</v>
      </c>
      <c r="Y10" s="274" t="s">
        <v>155</v>
      </c>
      <c r="Z10" s="283" t="s">
        <v>114</v>
      </c>
      <c r="AA10" s="275" t="s">
        <v>114</v>
      </c>
      <c r="AB10" s="329"/>
    </row>
    <row r="11" ht="15.75" customHeight="1">
      <c r="A11" s="38" t="s">
        <v>169</v>
      </c>
      <c r="B11" s="300" t="s">
        <v>114</v>
      </c>
      <c r="C11" s="283" t="s">
        <v>114</v>
      </c>
      <c r="D11" s="283" t="s">
        <v>114</v>
      </c>
      <c r="E11" s="276" t="s">
        <v>379</v>
      </c>
      <c r="F11" s="274" t="s">
        <v>155</v>
      </c>
      <c r="G11" s="283" t="s">
        <v>114</v>
      </c>
      <c r="H11" s="283" t="s">
        <v>114</v>
      </c>
      <c r="I11" s="283" t="s">
        <v>114</v>
      </c>
      <c r="J11" s="276" t="s">
        <v>379</v>
      </c>
      <c r="K11" s="274" t="s">
        <v>155</v>
      </c>
      <c r="L11" s="283" t="s">
        <v>114</v>
      </c>
      <c r="M11" s="276" t="s">
        <v>379</v>
      </c>
      <c r="N11" s="281" t="s">
        <v>330</v>
      </c>
      <c r="O11" s="283" t="s">
        <v>114</v>
      </c>
      <c r="P11" s="283" t="s">
        <v>114</v>
      </c>
      <c r="Q11" s="283" t="s">
        <v>114</v>
      </c>
      <c r="R11" s="275" t="s">
        <v>114</v>
      </c>
      <c r="S11" s="283" t="s">
        <v>114</v>
      </c>
      <c r="T11" s="274" t="s">
        <v>155</v>
      </c>
      <c r="U11" s="283" t="s">
        <v>114</v>
      </c>
      <c r="V11" s="283" t="s">
        <v>114</v>
      </c>
      <c r="W11" s="281" t="s">
        <v>330</v>
      </c>
      <c r="X11" s="283" t="s">
        <v>114</v>
      </c>
      <c r="Y11" s="283" t="s">
        <v>114</v>
      </c>
      <c r="Z11" s="283" t="s">
        <v>114</v>
      </c>
      <c r="AA11" s="323" t="s">
        <v>398</v>
      </c>
      <c r="AB11" s="55"/>
    </row>
    <row r="12" ht="15.75" customHeight="1">
      <c r="A12" s="38" t="s">
        <v>171</v>
      </c>
      <c r="B12" s="300" t="s">
        <v>114</v>
      </c>
      <c r="C12" s="300" t="s">
        <v>114</v>
      </c>
      <c r="D12" s="283" t="s">
        <v>114</v>
      </c>
      <c r="E12" s="283" t="s">
        <v>114</v>
      </c>
      <c r="F12" s="276" t="s">
        <v>379</v>
      </c>
      <c r="G12" s="283" t="s">
        <v>114</v>
      </c>
      <c r="H12" s="283" t="s">
        <v>114</v>
      </c>
      <c r="I12" s="276" t="s">
        <v>379</v>
      </c>
      <c r="J12" s="283" t="s">
        <v>114</v>
      </c>
      <c r="K12" s="274" t="s">
        <v>155</v>
      </c>
      <c r="L12" s="281" t="s">
        <v>330</v>
      </c>
      <c r="M12" s="283" t="s">
        <v>114</v>
      </c>
      <c r="N12" s="283" t="s">
        <v>114</v>
      </c>
      <c r="O12" s="283" t="s">
        <v>114</v>
      </c>
      <c r="P12" s="274" t="s">
        <v>155</v>
      </c>
      <c r="Q12" s="276" t="s">
        <v>379</v>
      </c>
      <c r="R12" s="283" t="s">
        <v>114</v>
      </c>
      <c r="S12" s="283" t="s">
        <v>114</v>
      </c>
      <c r="T12" s="283" t="s">
        <v>114</v>
      </c>
      <c r="U12" s="323" t="s">
        <v>398</v>
      </c>
      <c r="V12" s="274" t="s">
        <v>155</v>
      </c>
      <c r="W12" s="276" t="s">
        <v>379</v>
      </c>
      <c r="X12" s="283" t="s">
        <v>114</v>
      </c>
      <c r="Y12" s="281" t="s">
        <v>330</v>
      </c>
      <c r="Z12" s="283" t="s">
        <v>114</v>
      </c>
      <c r="AA12" s="283" t="s">
        <v>114</v>
      </c>
      <c r="AB12" s="55"/>
    </row>
    <row r="13" ht="15.75" customHeight="1">
      <c r="A13" s="38" t="s">
        <v>187</v>
      </c>
      <c r="B13" s="300" t="s">
        <v>114</v>
      </c>
      <c r="C13" s="281" t="s">
        <v>330</v>
      </c>
      <c r="D13" s="276" t="s">
        <v>379</v>
      </c>
      <c r="E13" s="283" t="s">
        <v>114</v>
      </c>
      <c r="F13" s="283" t="s">
        <v>114</v>
      </c>
      <c r="G13" s="283" t="s">
        <v>114</v>
      </c>
      <c r="H13" s="276" t="s">
        <v>379</v>
      </c>
      <c r="I13" s="274" t="s">
        <v>155</v>
      </c>
      <c r="J13" s="300" t="s">
        <v>114</v>
      </c>
      <c r="K13" s="283" t="s">
        <v>114</v>
      </c>
      <c r="L13" s="283" t="s">
        <v>114</v>
      </c>
      <c r="M13" s="274" t="s">
        <v>155</v>
      </c>
      <c r="N13" s="300" t="s">
        <v>114</v>
      </c>
      <c r="O13" s="281" t="s">
        <v>330</v>
      </c>
      <c r="P13" s="274" t="s">
        <v>155</v>
      </c>
      <c r="Q13" s="283" t="s">
        <v>114</v>
      </c>
      <c r="R13" s="276" t="s">
        <v>379</v>
      </c>
      <c r="S13" s="283" t="s">
        <v>114</v>
      </c>
      <c r="T13" s="276" t="s">
        <v>379</v>
      </c>
      <c r="U13" s="283" t="s">
        <v>114</v>
      </c>
      <c r="V13" s="283" t="s">
        <v>114</v>
      </c>
      <c r="W13" s="283" t="s">
        <v>114</v>
      </c>
      <c r="X13" s="283" t="s">
        <v>114</v>
      </c>
      <c r="Y13" s="283" t="s">
        <v>114</v>
      </c>
      <c r="Z13" s="323" t="s">
        <v>398</v>
      </c>
      <c r="AA13" s="283" t="s">
        <v>114</v>
      </c>
      <c r="AB13" s="55"/>
    </row>
    <row r="14" ht="15.75" customHeight="1">
      <c r="A14" s="38" t="s">
        <v>157</v>
      </c>
      <c r="B14" s="276" t="s">
        <v>379</v>
      </c>
      <c r="C14" s="283" t="s">
        <v>114</v>
      </c>
      <c r="D14" s="283" t="s">
        <v>114</v>
      </c>
      <c r="E14" s="274" t="s">
        <v>155</v>
      </c>
      <c r="F14" s="276" t="s">
        <v>379</v>
      </c>
      <c r="G14" s="283" t="s">
        <v>114</v>
      </c>
      <c r="H14" s="283" t="s">
        <v>114</v>
      </c>
      <c r="I14" s="323" t="s">
        <v>398</v>
      </c>
      <c r="J14" s="283" t="s">
        <v>114</v>
      </c>
      <c r="K14" s="283" t="s">
        <v>114</v>
      </c>
      <c r="L14" s="283" t="s">
        <v>114</v>
      </c>
      <c r="M14" s="283" t="s">
        <v>114</v>
      </c>
      <c r="N14" s="281" t="s">
        <v>330</v>
      </c>
      <c r="O14" s="275" t="s">
        <v>114</v>
      </c>
      <c r="P14" s="281" t="s">
        <v>330</v>
      </c>
      <c r="Q14" s="283" t="s">
        <v>114</v>
      </c>
      <c r="R14" s="275" t="s">
        <v>114</v>
      </c>
      <c r="S14" s="276" t="s">
        <v>379</v>
      </c>
      <c r="T14" s="283" t="s">
        <v>114</v>
      </c>
      <c r="U14" s="283" t="s">
        <v>114</v>
      </c>
      <c r="V14" s="274" t="s">
        <v>155</v>
      </c>
      <c r="W14" s="276" t="s">
        <v>379</v>
      </c>
      <c r="X14" s="283" t="s">
        <v>114</v>
      </c>
      <c r="Y14" s="283" t="s">
        <v>114</v>
      </c>
      <c r="Z14" s="276" t="s">
        <v>379</v>
      </c>
      <c r="AA14" s="283" t="s">
        <v>114</v>
      </c>
      <c r="AB14" s="55"/>
    </row>
    <row r="15" ht="15.75" customHeight="1">
      <c r="A15" s="38" t="s">
        <v>173</v>
      </c>
      <c r="B15" s="300" t="s">
        <v>114</v>
      </c>
      <c r="C15" s="300" t="s">
        <v>114</v>
      </c>
      <c r="D15" s="300" t="s">
        <v>114</v>
      </c>
      <c r="E15" s="286" t="s">
        <v>155</v>
      </c>
      <c r="F15" s="330" t="s">
        <v>398</v>
      </c>
      <c r="G15" s="300" t="s">
        <v>114</v>
      </c>
      <c r="H15" s="300" t="s">
        <v>114</v>
      </c>
      <c r="I15" s="300" t="s">
        <v>114</v>
      </c>
      <c r="J15" s="300" t="s">
        <v>114</v>
      </c>
      <c r="K15" s="276" t="s">
        <v>379</v>
      </c>
      <c r="L15" s="291" t="s">
        <v>330</v>
      </c>
      <c r="M15" s="300" t="s">
        <v>114</v>
      </c>
      <c r="N15" s="300" t="s">
        <v>114</v>
      </c>
      <c r="O15" s="300" t="s">
        <v>114</v>
      </c>
      <c r="P15" s="276" t="s">
        <v>379</v>
      </c>
      <c r="Q15" s="276" t="s">
        <v>379</v>
      </c>
      <c r="R15" s="300" t="s">
        <v>114</v>
      </c>
      <c r="S15" s="286" t="s">
        <v>155</v>
      </c>
      <c r="T15" s="291" t="s">
        <v>330</v>
      </c>
      <c r="U15" s="300" t="s">
        <v>114</v>
      </c>
      <c r="V15" s="300" t="s">
        <v>114</v>
      </c>
      <c r="W15" s="300" t="s">
        <v>114</v>
      </c>
      <c r="X15" s="300" t="s">
        <v>114</v>
      </c>
      <c r="Y15" s="286" t="s">
        <v>155</v>
      </c>
      <c r="Z15" s="300" t="s">
        <v>114</v>
      </c>
      <c r="AA15" s="276" t="s">
        <v>379</v>
      </c>
      <c r="AB15" s="55"/>
    </row>
    <row r="16" ht="15.75" customHeight="1">
      <c r="A16" s="38" t="s">
        <v>161</v>
      </c>
      <c r="B16" s="300" t="s">
        <v>114</v>
      </c>
      <c r="C16" s="300" t="s">
        <v>114</v>
      </c>
      <c r="D16" s="323" t="s">
        <v>398</v>
      </c>
      <c r="E16" s="281" t="s">
        <v>330</v>
      </c>
      <c r="F16" s="300" t="s">
        <v>114</v>
      </c>
      <c r="G16" s="300" t="s">
        <v>114</v>
      </c>
      <c r="H16" s="274" t="s">
        <v>155</v>
      </c>
      <c r="I16" s="300" t="s">
        <v>114</v>
      </c>
      <c r="J16" s="300" t="s">
        <v>114</v>
      </c>
      <c r="K16" s="300" t="s">
        <v>114</v>
      </c>
      <c r="L16" s="300" t="s">
        <v>114</v>
      </c>
      <c r="M16" s="276" t="s">
        <v>379</v>
      </c>
      <c r="N16" s="300" t="s">
        <v>114</v>
      </c>
      <c r="O16" s="274" t="s">
        <v>155</v>
      </c>
      <c r="P16" s="300" t="s">
        <v>114</v>
      </c>
      <c r="Q16" s="300" t="s">
        <v>114</v>
      </c>
      <c r="R16" s="274" t="s">
        <v>155</v>
      </c>
      <c r="S16" s="276" t="s">
        <v>379</v>
      </c>
      <c r="T16" s="300" t="s">
        <v>114</v>
      </c>
      <c r="U16" s="300" t="s">
        <v>114</v>
      </c>
      <c r="V16" s="276" t="s">
        <v>379</v>
      </c>
      <c r="W16" s="300" t="s">
        <v>114</v>
      </c>
      <c r="X16" s="300" t="s">
        <v>114</v>
      </c>
      <c r="Y16" s="300" t="s">
        <v>114</v>
      </c>
      <c r="Z16" s="276" t="s">
        <v>379</v>
      </c>
      <c r="AA16" s="281" t="s">
        <v>330</v>
      </c>
      <c r="AB16" s="55"/>
    </row>
    <row r="17" ht="15.75" customHeight="1">
      <c r="A17" s="38" t="s">
        <v>189</v>
      </c>
      <c r="B17" s="276" t="s">
        <v>379</v>
      </c>
      <c r="C17" s="300" t="s">
        <v>114</v>
      </c>
      <c r="D17" s="300" t="s">
        <v>114</v>
      </c>
      <c r="E17" s="300" t="s">
        <v>114</v>
      </c>
      <c r="F17" s="300" t="s">
        <v>114</v>
      </c>
      <c r="G17" s="300" t="s">
        <v>114</v>
      </c>
      <c r="H17" s="281" t="s">
        <v>330</v>
      </c>
      <c r="I17" s="274" t="s">
        <v>155</v>
      </c>
      <c r="J17" s="300" t="s">
        <v>114</v>
      </c>
      <c r="K17" s="300" t="s">
        <v>114</v>
      </c>
      <c r="L17" s="276" t="s">
        <v>379</v>
      </c>
      <c r="M17" s="300" t="s">
        <v>114</v>
      </c>
      <c r="N17" s="300" t="s">
        <v>114</v>
      </c>
      <c r="O17" s="283" t="s">
        <v>114</v>
      </c>
      <c r="P17" s="323" t="s">
        <v>398</v>
      </c>
      <c r="Q17" s="283" t="s">
        <v>114</v>
      </c>
      <c r="R17" s="276" t="s">
        <v>379</v>
      </c>
      <c r="S17" s="274" t="s">
        <v>155</v>
      </c>
      <c r="T17" s="283" t="s">
        <v>114</v>
      </c>
      <c r="U17" s="281" t="s">
        <v>330</v>
      </c>
      <c r="V17" s="300" t="s">
        <v>114</v>
      </c>
      <c r="W17" s="274" t="s">
        <v>155</v>
      </c>
      <c r="X17" s="300" t="s">
        <v>114</v>
      </c>
      <c r="Y17" s="300" t="s">
        <v>114</v>
      </c>
      <c r="Z17" s="276" t="s">
        <v>379</v>
      </c>
      <c r="AA17" s="283" t="s">
        <v>114</v>
      </c>
      <c r="AB17" s="55"/>
    </row>
    <row r="18" ht="15.75" customHeight="1">
      <c r="A18" s="83" t="s">
        <v>175</v>
      </c>
      <c r="B18" s="300" t="s">
        <v>114</v>
      </c>
      <c r="C18" s="275" t="s">
        <v>114</v>
      </c>
      <c r="D18" s="283" t="s">
        <v>114</v>
      </c>
      <c r="E18" s="276" t="s">
        <v>379</v>
      </c>
      <c r="F18" s="274" t="s">
        <v>155</v>
      </c>
      <c r="G18" s="283" t="s">
        <v>114</v>
      </c>
      <c r="H18" s="300" t="s">
        <v>114</v>
      </c>
      <c r="I18" s="283" t="s">
        <v>114</v>
      </c>
      <c r="J18" s="276" t="s">
        <v>379</v>
      </c>
      <c r="K18" s="283" t="s">
        <v>114</v>
      </c>
      <c r="L18" s="283" t="s">
        <v>114</v>
      </c>
      <c r="M18" s="283" t="s">
        <v>114</v>
      </c>
      <c r="N18" s="300" t="s">
        <v>114</v>
      </c>
      <c r="O18" s="323" t="s">
        <v>398</v>
      </c>
      <c r="P18" s="283" t="s">
        <v>114</v>
      </c>
      <c r="Q18" s="276" t="s">
        <v>379</v>
      </c>
      <c r="R18" s="275" t="s">
        <v>114</v>
      </c>
      <c r="S18" s="275" t="s">
        <v>114</v>
      </c>
      <c r="T18" s="274" t="s">
        <v>155</v>
      </c>
      <c r="U18" s="281" t="s">
        <v>330</v>
      </c>
      <c r="V18" s="283" t="s">
        <v>114</v>
      </c>
      <c r="W18" s="275" t="s">
        <v>114</v>
      </c>
      <c r="X18" s="274" t="s">
        <v>155</v>
      </c>
      <c r="Y18" s="276" t="s">
        <v>379</v>
      </c>
      <c r="Z18" s="283" t="s">
        <v>114</v>
      </c>
      <c r="AA18" s="281" t="s">
        <v>330</v>
      </c>
      <c r="AB18" s="55"/>
    </row>
    <row r="19" ht="15.75" customHeight="1">
      <c r="A19" s="38" t="s">
        <v>159</v>
      </c>
      <c r="B19" s="300" t="s">
        <v>114</v>
      </c>
      <c r="C19" s="276" t="s">
        <v>379</v>
      </c>
      <c r="D19" s="300" t="s">
        <v>114</v>
      </c>
      <c r="E19" s="300" t="s">
        <v>114</v>
      </c>
      <c r="F19" s="276" t="s">
        <v>379</v>
      </c>
      <c r="G19" s="291" t="s">
        <v>330</v>
      </c>
      <c r="H19" s="300" t="s">
        <v>114</v>
      </c>
      <c r="I19" s="286" t="s">
        <v>155</v>
      </c>
      <c r="J19" s="300" t="s">
        <v>114</v>
      </c>
      <c r="K19" s="300" t="s">
        <v>114</v>
      </c>
      <c r="L19" s="276" t="s">
        <v>379</v>
      </c>
      <c r="M19" s="300" t="s">
        <v>114</v>
      </c>
      <c r="N19" s="300" t="s">
        <v>114</v>
      </c>
      <c r="O19" s="286" t="s">
        <v>155</v>
      </c>
      <c r="P19" s="276" t="s">
        <v>379</v>
      </c>
      <c r="Q19" s="300" t="s">
        <v>114</v>
      </c>
      <c r="R19" s="287" t="s">
        <v>114</v>
      </c>
      <c r="S19" s="291" t="s">
        <v>330</v>
      </c>
      <c r="T19" s="300" t="s">
        <v>114</v>
      </c>
      <c r="U19" s="300" t="s">
        <v>114</v>
      </c>
      <c r="V19" s="300" t="s">
        <v>114</v>
      </c>
      <c r="W19" s="300" t="s">
        <v>114</v>
      </c>
      <c r="X19" s="330" t="s">
        <v>398</v>
      </c>
      <c r="Y19" s="300" t="s">
        <v>114</v>
      </c>
      <c r="Z19" s="286" t="s">
        <v>155</v>
      </c>
      <c r="AA19" s="300" t="s">
        <v>114</v>
      </c>
      <c r="AB19" s="56"/>
    </row>
    <row r="20" ht="15.75" customHeight="1">
      <c r="A20" s="38" t="s">
        <v>178</v>
      </c>
      <c r="B20" s="300" t="s">
        <v>114</v>
      </c>
      <c r="C20" s="300" t="s">
        <v>114</v>
      </c>
      <c r="D20" s="276" t="s">
        <v>379</v>
      </c>
      <c r="E20" s="300" t="s">
        <v>114</v>
      </c>
      <c r="F20" s="300" t="s">
        <v>114</v>
      </c>
      <c r="G20" s="323" t="s">
        <v>398</v>
      </c>
      <c r="H20" s="300" t="s">
        <v>114</v>
      </c>
      <c r="I20" s="300" t="s">
        <v>114</v>
      </c>
      <c r="J20" s="276" t="s">
        <v>379</v>
      </c>
      <c r="K20" s="274" t="s">
        <v>155</v>
      </c>
      <c r="L20" s="283" t="s">
        <v>114</v>
      </c>
      <c r="M20" s="276" t="s">
        <v>379</v>
      </c>
      <c r="N20" s="300" t="s">
        <v>114</v>
      </c>
      <c r="O20" s="281" t="s">
        <v>330</v>
      </c>
      <c r="P20" s="300" t="s">
        <v>114</v>
      </c>
      <c r="Q20" s="274" t="s">
        <v>155</v>
      </c>
      <c r="R20" s="300" t="s">
        <v>114</v>
      </c>
      <c r="S20" s="300" t="s">
        <v>114</v>
      </c>
      <c r="T20" s="276" t="s">
        <v>379</v>
      </c>
      <c r="U20" s="274" t="s">
        <v>155</v>
      </c>
      <c r="V20" s="300" t="s">
        <v>114</v>
      </c>
      <c r="W20" s="300" t="s">
        <v>114</v>
      </c>
      <c r="X20" s="281" t="s">
        <v>330</v>
      </c>
      <c r="Y20" s="300" t="s">
        <v>114</v>
      </c>
      <c r="Z20" s="300" t="s">
        <v>114</v>
      </c>
      <c r="AA20" s="283" t="s">
        <v>114</v>
      </c>
      <c r="AB20" s="55"/>
    </row>
    <row r="21"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</row>
    <row r="22">
      <c r="B22" s="331" t="s">
        <v>379</v>
      </c>
      <c r="C22" s="310" t="s">
        <v>403</v>
      </c>
      <c r="D22" s="189"/>
      <c r="E22" s="190"/>
      <c r="F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</row>
    <row r="23">
      <c r="B23" s="332" t="s">
        <v>330</v>
      </c>
      <c r="C23" s="318" t="s">
        <v>396</v>
      </c>
      <c r="D23" s="189"/>
      <c r="E23" s="190"/>
      <c r="F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</row>
    <row r="24">
      <c r="B24" s="315" t="s">
        <v>114</v>
      </c>
      <c r="C24" s="316" t="s">
        <v>362</v>
      </c>
      <c r="D24" s="189"/>
      <c r="E24" s="190"/>
      <c r="F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</row>
    <row r="25">
      <c r="B25" s="333" t="s">
        <v>155</v>
      </c>
      <c r="C25" s="308" t="s">
        <v>404</v>
      </c>
      <c r="D25" s="189"/>
      <c r="E25" s="190"/>
      <c r="F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</row>
    <row r="26">
      <c r="B26" s="323" t="s">
        <v>398</v>
      </c>
      <c r="C26" s="334" t="s">
        <v>405</v>
      </c>
      <c r="D26" s="189"/>
      <c r="E26" s="190"/>
      <c r="F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</row>
    <row r="27"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</row>
    <row r="28"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</row>
    <row r="29"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</row>
    <row r="30"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</row>
    <row r="31"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</row>
    <row r="32"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</row>
    <row r="33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</row>
    <row r="3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</row>
    <row r="35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</row>
    <row r="36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</row>
    <row r="37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</row>
    <row r="38"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</row>
    <row r="39"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</row>
    <row r="40"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</row>
    <row r="41"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</row>
    <row r="42"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</row>
    <row r="43"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</row>
    <row r="44"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</row>
    <row r="45"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</row>
    <row r="46"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</row>
    <row r="47"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</row>
    <row r="48"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</row>
    <row r="49"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</row>
    <row r="50"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</row>
    <row r="51"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</row>
    <row r="52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</row>
    <row r="53"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</row>
    <row r="54"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</row>
    <row r="55"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</row>
    <row r="56"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</row>
    <row r="57"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</row>
    <row r="58"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</row>
    <row r="59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</row>
    <row r="60"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</row>
    <row r="61"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</row>
    <row r="62"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</row>
    <row r="63"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</row>
    <row r="64"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</row>
    <row r="65">
      <c r="B65" s="186"/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</row>
    <row r="66"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</row>
    <row r="67"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</row>
    <row r="68"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</row>
    <row r="69"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</row>
    <row r="70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</row>
    <row r="71"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</row>
    <row r="72"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</row>
    <row r="73"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</row>
    <row r="74"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</row>
    <row r="75"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</row>
    <row r="76"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</row>
    <row r="77"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</row>
    <row r="78"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</row>
    <row r="79"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</row>
    <row r="80"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</row>
    <row r="81"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</row>
    <row r="82"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</row>
    <row r="83"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</row>
    <row r="84"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</row>
    <row r="85"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</row>
    <row r="86"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</row>
    <row r="87"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</row>
    <row r="88"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</row>
    <row r="89"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</row>
    <row r="90"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</row>
    <row r="91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</row>
    <row r="92"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</row>
    <row r="93"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</row>
    <row r="94"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</row>
    <row r="95"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</row>
    <row r="96"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</row>
    <row r="97"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</row>
    <row r="98"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</row>
    <row r="99"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</row>
    <row r="100"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</row>
    <row r="101"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</row>
    <row r="102"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</row>
    <row r="103"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</row>
    <row r="104"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</row>
    <row r="105"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</row>
    <row r="106"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</row>
    <row r="107"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</row>
    <row r="108"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</row>
    <row r="109"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</row>
    <row r="110"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</row>
    <row r="111"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</row>
    <row r="112"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</row>
    <row r="113"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</row>
    <row r="114"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</row>
    <row r="115"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</row>
    <row r="116"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</row>
    <row r="117"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</row>
    <row r="118"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</row>
    <row r="119"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</row>
    <row r="120"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</row>
    <row r="121"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</row>
    <row r="122"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</row>
    <row r="123"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</row>
    <row r="124"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</row>
    <row r="125"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</row>
    <row r="126"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</row>
    <row r="127"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</row>
    <row r="128"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</row>
    <row r="129"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</row>
    <row r="130"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</row>
    <row r="131"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</row>
    <row r="132"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</row>
    <row r="133"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</row>
    <row r="134"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</row>
    <row r="135"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</row>
    <row r="136"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</row>
    <row r="137"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</row>
    <row r="138"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</row>
    <row r="139"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</row>
    <row r="140"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</row>
    <row r="141"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</row>
    <row r="142"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</row>
    <row r="143"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</row>
    <row r="144"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</row>
    <row r="145"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</row>
    <row r="146"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</row>
    <row r="147"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</row>
    <row r="148"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</row>
    <row r="149"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</row>
    <row r="150"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</row>
    <row r="151"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</row>
    <row r="152"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</row>
    <row r="153"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</row>
    <row r="154"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</row>
    <row r="155"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</row>
    <row r="156"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</row>
    <row r="157"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</row>
    <row r="158"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</row>
    <row r="159"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</row>
    <row r="160"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</row>
    <row r="161"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</row>
    <row r="162"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</row>
    <row r="163"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</row>
    <row r="164"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</row>
    <row r="165"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</row>
    <row r="166"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</row>
    <row r="167"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</row>
    <row r="168"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</row>
    <row r="169"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</row>
    <row r="170"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</row>
    <row r="171"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</row>
    <row r="172"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</row>
    <row r="173"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</row>
    <row r="174"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</row>
    <row r="175"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</row>
    <row r="176"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</row>
    <row r="177"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</row>
    <row r="178"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</row>
    <row r="179"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</row>
    <row r="180"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</row>
    <row r="181"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</row>
    <row r="182"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</row>
    <row r="183"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</row>
    <row r="184"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</row>
    <row r="185"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</row>
    <row r="186"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</row>
    <row r="187"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</row>
    <row r="188"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</row>
    <row r="189"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</row>
    <row r="190"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</row>
    <row r="191"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</row>
    <row r="192"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</row>
    <row r="193"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</row>
    <row r="194"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</row>
    <row r="195"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</row>
    <row r="196"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</row>
    <row r="197"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</row>
    <row r="198"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</row>
    <row r="199"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</row>
    <row r="200"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</row>
    <row r="201"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</row>
    <row r="202"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</row>
    <row r="203"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</row>
    <row r="204"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</row>
    <row r="205"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</row>
    <row r="206"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</row>
    <row r="207"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</row>
    <row r="208"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</row>
    <row r="209"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</row>
    <row r="210"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</row>
    <row r="211"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</row>
    <row r="212"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</row>
    <row r="213"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</row>
    <row r="214"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</row>
    <row r="215"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</row>
    <row r="216"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</row>
    <row r="217"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</row>
    <row r="218"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</row>
    <row r="219"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</row>
    <row r="220"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</row>
    <row r="221"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</row>
    <row r="222"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</row>
    <row r="223"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</row>
    <row r="224"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</row>
    <row r="225"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</row>
    <row r="226"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</row>
    <row r="227"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</row>
    <row r="228"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</row>
    <row r="229"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</row>
    <row r="230"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</row>
    <row r="231"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</row>
    <row r="232"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</row>
    <row r="233"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</row>
    <row r="234"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</row>
    <row r="235"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</row>
    <row r="236"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</row>
    <row r="237"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</row>
    <row r="238"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</row>
    <row r="239"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</row>
    <row r="240"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</row>
    <row r="241"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</row>
    <row r="242"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</row>
    <row r="243"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</row>
    <row r="244"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</row>
    <row r="245"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</row>
    <row r="246"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</row>
    <row r="247"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</row>
    <row r="248"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</row>
    <row r="249"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</row>
    <row r="250"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</row>
    <row r="251"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</row>
    <row r="252"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</row>
    <row r="253"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</row>
    <row r="254"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</row>
    <row r="255"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</row>
    <row r="256"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</row>
    <row r="257"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</row>
    <row r="258"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</row>
    <row r="259"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</row>
    <row r="260"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</row>
    <row r="261"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</row>
    <row r="262"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</row>
    <row r="263"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</row>
    <row r="264"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</row>
    <row r="265"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</row>
    <row r="266"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</row>
    <row r="267"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</row>
    <row r="268"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</row>
    <row r="269"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</row>
    <row r="270"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</row>
    <row r="271"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</row>
    <row r="272"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</row>
    <row r="273"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</row>
    <row r="274"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</row>
    <row r="275"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</row>
    <row r="276"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</row>
    <row r="277"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</row>
    <row r="278"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</row>
    <row r="279"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</row>
    <row r="280"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</row>
    <row r="281"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</row>
    <row r="282"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</row>
    <row r="283"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</row>
    <row r="284"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</row>
    <row r="285"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</row>
    <row r="286"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</row>
    <row r="287"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</row>
    <row r="288"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</row>
    <row r="289"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</row>
    <row r="290"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</row>
    <row r="291"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</row>
    <row r="292"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</row>
    <row r="293"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</row>
    <row r="294"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</row>
    <row r="295"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</row>
    <row r="296"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</row>
    <row r="297"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</row>
    <row r="298"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</row>
    <row r="299"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</row>
    <row r="300"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</row>
    <row r="301"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</row>
    <row r="302"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</row>
    <row r="303"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</row>
    <row r="304"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</row>
    <row r="305"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</row>
    <row r="306"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</row>
    <row r="307"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</row>
    <row r="308"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</row>
    <row r="309"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</row>
    <row r="310"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</row>
    <row r="311"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</row>
    <row r="312"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</row>
    <row r="313"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</row>
    <row r="314"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</row>
    <row r="315"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</row>
    <row r="316"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</row>
    <row r="317"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</row>
    <row r="318"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</row>
    <row r="319"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</row>
    <row r="320"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</row>
    <row r="321"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</row>
    <row r="322"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</row>
    <row r="323"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</row>
    <row r="324"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</row>
    <row r="325"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</row>
    <row r="326"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</row>
    <row r="327"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</row>
    <row r="328"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</row>
    <row r="329"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</row>
    <row r="330"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</row>
    <row r="331"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</row>
    <row r="332"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</row>
    <row r="333"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</row>
    <row r="334"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</row>
    <row r="335"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</row>
    <row r="336"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</row>
    <row r="337"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</row>
    <row r="338"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</row>
    <row r="339"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</row>
    <row r="340"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</row>
    <row r="341"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</row>
    <row r="342"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</row>
    <row r="343"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</row>
    <row r="344"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</row>
    <row r="345"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</row>
    <row r="346"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</row>
    <row r="347"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</row>
    <row r="348"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</row>
    <row r="349"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</row>
    <row r="350"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</row>
    <row r="351"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</row>
    <row r="352"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</row>
    <row r="353"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</row>
    <row r="354"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</row>
    <row r="355"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</row>
    <row r="356"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</row>
    <row r="357"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</row>
    <row r="358"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</row>
    <row r="359"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</row>
    <row r="360"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</row>
    <row r="361"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</row>
    <row r="362"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</row>
    <row r="363"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</row>
    <row r="364"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</row>
    <row r="365"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</row>
    <row r="366"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</row>
    <row r="367"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</row>
    <row r="368"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</row>
    <row r="369"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</row>
    <row r="370"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</row>
    <row r="371"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</row>
    <row r="372"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</row>
    <row r="373"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</row>
    <row r="374"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</row>
    <row r="375"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</row>
    <row r="376"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</row>
    <row r="377"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</row>
    <row r="378"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</row>
    <row r="379"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</row>
    <row r="380"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</row>
    <row r="381"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</row>
    <row r="382"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</row>
    <row r="383"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</row>
    <row r="384"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</row>
    <row r="385"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</row>
    <row r="386"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</row>
    <row r="387"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</row>
    <row r="388"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</row>
    <row r="389"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</row>
    <row r="390"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</row>
    <row r="391"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</row>
    <row r="392"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</row>
    <row r="393"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</row>
    <row r="394"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</row>
    <row r="395"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</row>
    <row r="396"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</row>
    <row r="397"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</row>
    <row r="398"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</row>
    <row r="399"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</row>
    <row r="400"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</row>
    <row r="401"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</row>
    <row r="402"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</row>
    <row r="403"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</row>
    <row r="404"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</row>
    <row r="405"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</row>
    <row r="406"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</row>
    <row r="407"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</row>
    <row r="408"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</row>
    <row r="409"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</row>
    <row r="410"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</row>
    <row r="411"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</row>
    <row r="412"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</row>
    <row r="413"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</row>
    <row r="414"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</row>
    <row r="415"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</row>
    <row r="416"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</row>
    <row r="417"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</row>
    <row r="418"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</row>
    <row r="419"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</row>
    <row r="420"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</row>
    <row r="421"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</row>
    <row r="422"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</row>
    <row r="423"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</row>
    <row r="424"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</row>
    <row r="425"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</row>
    <row r="426"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</row>
    <row r="427"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</row>
    <row r="428"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</row>
    <row r="429"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</row>
    <row r="430"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</row>
    <row r="431"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</row>
    <row r="432"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</row>
    <row r="433"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</row>
    <row r="434"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</row>
    <row r="435"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</row>
    <row r="436"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</row>
    <row r="437"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</row>
    <row r="438"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</row>
    <row r="439"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</row>
    <row r="440"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</row>
    <row r="441"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</row>
    <row r="442"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</row>
    <row r="443"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</row>
    <row r="444"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</row>
    <row r="445"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</row>
    <row r="446"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</row>
    <row r="447"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</row>
    <row r="448"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</row>
    <row r="449"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</row>
    <row r="450"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</row>
    <row r="451"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</row>
    <row r="452"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</row>
    <row r="453"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</row>
    <row r="454"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</row>
    <row r="455"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</row>
    <row r="456"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</row>
    <row r="457"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</row>
    <row r="458"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</row>
    <row r="459"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</row>
    <row r="460"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</row>
    <row r="461"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</row>
    <row r="462"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</row>
    <row r="463"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</row>
    <row r="464"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</row>
    <row r="465"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</row>
    <row r="466"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</row>
    <row r="467"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</row>
    <row r="468"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</row>
    <row r="469"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</row>
    <row r="470"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</row>
    <row r="471"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</row>
    <row r="472"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</row>
    <row r="473"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</row>
    <row r="474"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</row>
    <row r="475"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</row>
    <row r="476"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</row>
    <row r="477"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</row>
    <row r="478"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</row>
    <row r="479"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</row>
    <row r="480"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</row>
    <row r="481"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</row>
    <row r="482"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</row>
    <row r="483"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</row>
    <row r="484"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</row>
    <row r="485"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</row>
    <row r="486"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</row>
    <row r="487"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</row>
    <row r="488"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</row>
    <row r="489"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</row>
    <row r="490"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</row>
    <row r="491"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</row>
    <row r="492"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</row>
    <row r="493"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</row>
    <row r="494"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</row>
    <row r="495"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</row>
    <row r="496"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</row>
    <row r="497"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</row>
    <row r="498"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</row>
    <row r="499"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</row>
    <row r="500"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</row>
    <row r="501"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</row>
    <row r="502"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</row>
    <row r="503"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</row>
    <row r="504"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</row>
    <row r="505"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</row>
    <row r="506"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</row>
    <row r="507"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</row>
    <row r="508"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</row>
    <row r="509"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</row>
    <row r="510"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</row>
    <row r="511"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</row>
    <row r="512"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</row>
    <row r="513"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</row>
    <row r="514"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</row>
    <row r="515"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</row>
    <row r="516"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</row>
    <row r="517"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</row>
    <row r="518"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</row>
    <row r="519"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</row>
    <row r="520"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</row>
    <row r="521"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</row>
    <row r="522"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</row>
    <row r="523"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</row>
    <row r="524"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</row>
    <row r="525"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</row>
    <row r="526"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</row>
    <row r="527"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</row>
    <row r="528"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</row>
    <row r="529"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</row>
    <row r="530"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</row>
    <row r="531"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</row>
    <row r="532"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</row>
    <row r="533"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</row>
    <row r="534"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</row>
    <row r="535"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</row>
    <row r="536"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</row>
    <row r="537"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</row>
    <row r="538"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</row>
    <row r="539"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</row>
    <row r="540"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</row>
    <row r="541"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</row>
    <row r="542"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</row>
    <row r="543"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</row>
    <row r="544"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</row>
    <row r="545"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</row>
    <row r="546"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</row>
    <row r="547"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</row>
    <row r="548"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</row>
    <row r="549"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</row>
    <row r="550"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</row>
    <row r="551"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</row>
    <row r="552"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</row>
    <row r="553"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</row>
    <row r="554"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</row>
    <row r="555"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</row>
    <row r="556"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</row>
    <row r="557"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</row>
    <row r="558"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</row>
    <row r="559"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</row>
    <row r="560"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</row>
    <row r="561"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</row>
    <row r="562"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</row>
    <row r="563"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</row>
    <row r="564"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</row>
    <row r="565"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</row>
    <row r="566"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</row>
    <row r="567"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</row>
    <row r="568"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</row>
    <row r="569"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</row>
    <row r="570"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</row>
    <row r="571"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</row>
    <row r="572"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</row>
    <row r="573"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</row>
    <row r="574"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</row>
    <row r="575"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</row>
    <row r="576"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</row>
    <row r="577"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</row>
    <row r="578"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</row>
    <row r="579"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</row>
    <row r="580"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</row>
    <row r="581"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</row>
    <row r="582"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</row>
    <row r="583"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</row>
    <row r="584"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</row>
    <row r="585"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</row>
    <row r="586"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</row>
    <row r="587"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</row>
    <row r="588"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</row>
    <row r="589"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</row>
    <row r="590"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</row>
    <row r="591"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</row>
    <row r="592"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</row>
    <row r="593"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</row>
    <row r="594"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</row>
    <row r="595"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</row>
    <row r="596"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</row>
    <row r="597"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</row>
    <row r="598"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</row>
    <row r="599"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</row>
    <row r="600"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</row>
    <row r="601"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</row>
    <row r="602"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</row>
    <row r="603"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</row>
    <row r="604"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</row>
    <row r="605"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</row>
    <row r="606"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</row>
    <row r="607"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</row>
    <row r="608"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</row>
    <row r="609"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</row>
    <row r="610"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</row>
    <row r="611"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</row>
    <row r="612"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</row>
    <row r="613"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</row>
    <row r="614"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</row>
    <row r="615"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</row>
    <row r="616"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</row>
    <row r="617"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</row>
    <row r="618"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</row>
    <row r="619"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</row>
    <row r="620"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</row>
    <row r="621"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</row>
    <row r="622"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</row>
    <row r="623"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</row>
    <row r="624"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</row>
    <row r="625"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</row>
    <row r="626"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</row>
    <row r="627"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</row>
    <row r="628"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</row>
    <row r="629"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</row>
    <row r="630"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</row>
    <row r="631"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</row>
    <row r="632"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</row>
    <row r="633"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</row>
    <row r="634"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</row>
    <row r="635"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</row>
    <row r="636"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</row>
    <row r="637"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</row>
    <row r="638"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</row>
    <row r="639"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</row>
    <row r="640"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</row>
    <row r="641"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</row>
    <row r="642"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</row>
    <row r="643"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</row>
    <row r="644"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</row>
    <row r="645"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</row>
    <row r="646"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</row>
    <row r="647"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</row>
    <row r="648"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</row>
    <row r="649"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</row>
    <row r="650"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</row>
    <row r="651"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</row>
    <row r="652"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</row>
    <row r="653"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</row>
    <row r="654"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</row>
    <row r="655"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</row>
    <row r="656"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</row>
    <row r="657"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</row>
    <row r="658"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</row>
    <row r="659"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</row>
    <row r="660"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</row>
    <row r="661"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</row>
    <row r="662"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</row>
    <row r="663"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</row>
    <row r="664"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</row>
    <row r="665"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</row>
    <row r="666"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</row>
    <row r="667"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</row>
    <row r="668"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</row>
    <row r="669"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</row>
    <row r="670"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</row>
    <row r="671"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</row>
    <row r="672"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</row>
    <row r="673"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</row>
    <row r="674"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</row>
    <row r="675"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</row>
    <row r="676"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</row>
    <row r="677"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</row>
    <row r="678"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</row>
    <row r="679"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</row>
    <row r="680"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</row>
    <row r="681"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</row>
    <row r="682"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</row>
    <row r="683"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</row>
    <row r="684"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</row>
    <row r="685"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</row>
    <row r="686"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</row>
    <row r="687"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</row>
    <row r="688"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</row>
    <row r="689"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</row>
    <row r="690"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</row>
    <row r="691"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</row>
    <row r="692"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</row>
    <row r="693"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</row>
    <row r="694"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</row>
    <row r="695"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</row>
    <row r="696"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</row>
    <row r="697"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</row>
    <row r="698"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</row>
    <row r="699"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</row>
    <row r="700"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</row>
    <row r="701"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</row>
    <row r="702"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</row>
    <row r="703"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</row>
    <row r="704"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</row>
    <row r="705"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</row>
    <row r="706"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</row>
    <row r="707"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</row>
    <row r="708"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</row>
    <row r="709"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</row>
    <row r="710"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</row>
    <row r="711"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</row>
    <row r="712"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</row>
    <row r="713"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</row>
    <row r="714"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</row>
    <row r="715"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</row>
    <row r="716"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</row>
    <row r="717"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</row>
    <row r="718"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</row>
    <row r="719"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</row>
    <row r="720"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</row>
    <row r="721"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</row>
    <row r="722"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</row>
    <row r="723"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</row>
    <row r="724"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</row>
    <row r="725"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</row>
    <row r="726"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</row>
    <row r="727"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</row>
    <row r="728"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</row>
    <row r="729"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</row>
    <row r="730"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</row>
    <row r="731"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</row>
    <row r="732"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</row>
    <row r="733"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</row>
    <row r="734"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</row>
    <row r="735"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</row>
    <row r="736"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</row>
    <row r="737"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</row>
    <row r="738"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</row>
    <row r="739"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</row>
    <row r="740"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</row>
    <row r="741"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</row>
    <row r="742"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</row>
    <row r="743"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</row>
    <row r="744"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</row>
    <row r="745"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</row>
    <row r="746"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</row>
    <row r="747"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</row>
    <row r="748"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</row>
    <row r="749"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</row>
    <row r="750"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</row>
    <row r="751"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</row>
    <row r="752"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</row>
    <row r="753"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</row>
    <row r="754"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</row>
    <row r="755"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</row>
    <row r="756"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</row>
    <row r="757"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</row>
    <row r="758"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</row>
    <row r="759"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</row>
    <row r="760"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</row>
    <row r="761"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</row>
    <row r="762"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</row>
    <row r="763"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</row>
    <row r="764"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</row>
    <row r="765"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</row>
    <row r="766"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</row>
    <row r="767"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</row>
    <row r="768"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</row>
    <row r="769"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</row>
    <row r="770"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</row>
    <row r="771"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</row>
    <row r="772"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</row>
    <row r="773"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</row>
    <row r="774"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</row>
    <row r="775"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</row>
    <row r="776"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</row>
    <row r="777"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</row>
    <row r="778"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</row>
    <row r="779"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</row>
    <row r="780"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</row>
    <row r="781"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</row>
    <row r="782"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</row>
    <row r="783"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</row>
    <row r="784"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</row>
    <row r="785"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</row>
    <row r="786"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</row>
    <row r="787"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</row>
    <row r="788"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</row>
    <row r="789"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</row>
    <row r="790"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</row>
    <row r="791"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</row>
    <row r="792"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</row>
    <row r="793"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</row>
    <row r="794"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</row>
    <row r="795"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</row>
    <row r="796"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</row>
    <row r="797"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</row>
    <row r="798"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</row>
    <row r="799"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</row>
    <row r="800"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</row>
    <row r="801"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</row>
    <row r="802"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</row>
    <row r="803"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</row>
    <row r="804"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</row>
    <row r="805"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</row>
    <row r="806"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</row>
    <row r="807"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</row>
    <row r="808"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</row>
    <row r="809"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</row>
    <row r="810"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</row>
    <row r="811"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</row>
    <row r="812"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</row>
    <row r="813"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</row>
    <row r="814"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</row>
    <row r="815"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</row>
    <row r="816"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</row>
    <row r="817"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</row>
    <row r="818"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</row>
    <row r="819"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</row>
    <row r="820"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</row>
    <row r="821"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</row>
    <row r="822"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</row>
    <row r="823"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</row>
    <row r="824"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</row>
    <row r="825"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</row>
    <row r="826"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</row>
    <row r="827"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</row>
    <row r="828"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</row>
    <row r="829"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</row>
    <row r="830"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</row>
    <row r="831"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</row>
    <row r="832"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</row>
    <row r="833"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</row>
    <row r="834"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</row>
    <row r="835"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</row>
    <row r="836"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</row>
    <row r="837"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</row>
    <row r="838"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</row>
    <row r="839"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</row>
    <row r="840"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</row>
    <row r="841"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</row>
    <row r="842"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</row>
    <row r="843"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</row>
    <row r="844"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</row>
    <row r="845"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</row>
    <row r="846"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</row>
    <row r="847"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</row>
    <row r="848"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</row>
    <row r="849"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</row>
    <row r="850"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</row>
    <row r="851"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</row>
    <row r="852"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</row>
    <row r="853"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</row>
    <row r="854"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</row>
    <row r="855"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</row>
    <row r="856"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</row>
    <row r="857"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</row>
    <row r="858"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</row>
    <row r="859"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</row>
    <row r="860"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</row>
    <row r="861"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</row>
    <row r="862"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</row>
    <row r="863"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</row>
    <row r="864"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</row>
    <row r="865"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</row>
    <row r="866"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</row>
    <row r="867"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</row>
    <row r="868"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</row>
    <row r="869"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</row>
    <row r="870"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</row>
    <row r="871"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</row>
    <row r="872"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</row>
    <row r="873"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</row>
    <row r="874"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</row>
    <row r="875"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</row>
    <row r="876"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</row>
    <row r="877"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</row>
    <row r="878"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</row>
    <row r="879"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</row>
    <row r="880"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</row>
    <row r="881"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</row>
    <row r="882"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</row>
    <row r="883"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</row>
    <row r="884"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</row>
    <row r="885"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</row>
    <row r="886"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</row>
    <row r="887"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</row>
    <row r="888"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</row>
    <row r="889"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</row>
    <row r="890"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</row>
    <row r="891"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</row>
    <row r="892"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</row>
    <row r="893"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</row>
    <row r="894"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</row>
    <row r="895"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</row>
    <row r="896"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</row>
    <row r="897"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</row>
    <row r="898"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</row>
    <row r="899"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</row>
    <row r="900"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</row>
    <row r="901"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</row>
    <row r="902"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</row>
    <row r="903"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</row>
    <row r="904"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</row>
    <row r="905"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</row>
    <row r="906"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</row>
    <row r="907"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</row>
    <row r="908"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</row>
    <row r="909"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</row>
    <row r="910"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</row>
    <row r="911"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</row>
    <row r="912"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</row>
    <row r="913"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</row>
    <row r="914"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</row>
    <row r="915"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</row>
    <row r="916"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</row>
    <row r="917"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</row>
    <row r="918"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</row>
    <row r="919"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</row>
  </sheetData>
  <mergeCells count="5">
    <mergeCell ref="C22:E22"/>
    <mergeCell ref="C23:E23"/>
    <mergeCell ref="C24:E24"/>
    <mergeCell ref="C25:E25"/>
    <mergeCell ref="C26:E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0"/>
  </cols>
  <sheetData>
    <row r="1">
      <c r="A1" s="335" t="s">
        <v>406</v>
      </c>
      <c r="B1" s="335" t="s">
        <v>11</v>
      </c>
    </row>
    <row r="2">
      <c r="A2" s="28" t="s">
        <v>15</v>
      </c>
      <c r="B2" s="29" t="s">
        <v>16</v>
      </c>
    </row>
    <row r="3">
      <c r="A3" s="28" t="s">
        <v>18</v>
      </c>
      <c r="B3" s="29" t="s">
        <v>19</v>
      </c>
    </row>
    <row r="4">
      <c r="A4" s="34" t="s">
        <v>21</v>
      </c>
      <c r="B4" s="29" t="s">
        <v>22</v>
      </c>
    </row>
    <row r="5">
      <c r="A5" s="34" t="s">
        <v>24</v>
      </c>
      <c r="B5" s="29"/>
    </row>
    <row r="6">
      <c r="A6" s="34" t="s">
        <v>31</v>
      </c>
      <c r="B6" s="29" t="s">
        <v>32</v>
      </c>
    </row>
    <row r="7">
      <c r="A7" s="34" t="s">
        <v>33</v>
      </c>
      <c r="B7" s="29" t="s">
        <v>34</v>
      </c>
    </row>
    <row r="8">
      <c r="A8" s="34" t="s">
        <v>35</v>
      </c>
      <c r="B8" s="29" t="s">
        <v>36</v>
      </c>
    </row>
    <row r="9">
      <c r="A9" s="34" t="s">
        <v>38</v>
      </c>
      <c r="B9" s="29" t="s">
        <v>39</v>
      </c>
    </row>
    <row r="10">
      <c r="A10" s="34" t="s">
        <v>40</v>
      </c>
      <c r="B10" s="29" t="s">
        <v>41</v>
      </c>
    </row>
    <row r="11">
      <c r="A11" s="34" t="s">
        <v>42</v>
      </c>
      <c r="B11" s="29" t="s">
        <v>43</v>
      </c>
    </row>
    <row r="12">
      <c r="A12" s="34" t="s">
        <v>44</v>
      </c>
      <c r="B12" s="29" t="s">
        <v>45</v>
      </c>
    </row>
    <row r="13">
      <c r="A13" s="34" t="s">
        <v>46</v>
      </c>
      <c r="B13" s="29" t="s">
        <v>47</v>
      </c>
    </row>
    <row r="14">
      <c r="A14" s="34" t="s">
        <v>48</v>
      </c>
      <c r="B14" s="29" t="s">
        <v>49</v>
      </c>
    </row>
  </sheetData>
  <drawing r:id="rId1"/>
</worksheet>
</file>