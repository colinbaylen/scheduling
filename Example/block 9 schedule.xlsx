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olin/Library/Mobile Documents/com~apple~CloudDocs/cbproj/scheduling/Example/"/>
    </mc:Choice>
  </mc:AlternateContent>
  <xr:revisionPtr revIDLastSave="0" documentId="13_ncr:1_{F1C8FC52-AC47-4545-9B17-BDDF34E756DC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BHTH" sheetId="1" r:id="rId1"/>
    <sheet name="PGY1" sheetId="2" r:id="rId2"/>
    <sheet name="PGY2" sheetId="3" r:id="rId3"/>
    <sheet name="PGY3" sheetId="4" r:id="rId4"/>
    <sheet name="PGY4" sheetId="5" r:id="rId5"/>
    <sheet name="OSRs" sheetId="6" r:id="rId6"/>
  </sheets>
  <definedNames>
    <definedName name="MY_FUNCTION1">_xludf.LAMBDA(COUNTIF(#REF!,{"D2";"D2a";"D2p"})+COUNTIF(#REF!,{"D2";"D2a";"D2p"}))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1" l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5" i="1"/>
  <c r="D55" i="1"/>
  <c r="C55" i="1"/>
  <c r="E54" i="1"/>
  <c r="D54" i="1"/>
  <c r="C54" i="1"/>
  <c r="E52" i="1"/>
  <c r="D52" i="1"/>
  <c r="C52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39" i="1"/>
  <c r="D39" i="1"/>
  <c r="C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300-000001000000}">
      <text>
        <r>
          <rPr>
            <sz val="10"/>
            <color rgb="FF000000"/>
            <rFont val="Helvetica Neue"/>
            <scheme val="minor"/>
          </rPr>
          <t>naya</t>
        </r>
      </text>
    </comment>
  </commentList>
</comments>
</file>

<file path=xl/sharedStrings.xml><?xml version="1.0" encoding="utf-8"?>
<sst xmlns="http://schemas.openxmlformats.org/spreadsheetml/2006/main" count="3215" uniqueCount="401">
  <si>
    <t>https://infoinspired.com/google-docs/spreadsheet/learn-query-function-with-examples-in-google-sheets/</t>
  </si>
  <si>
    <t>Block 9</t>
  </si>
  <si>
    <t>M</t>
  </si>
  <si>
    <t>T</t>
  </si>
  <si>
    <t>W</t>
  </si>
  <si>
    <t>Th</t>
  </si>
  <si>
    <t>F</t>
  </si>
  <si>
    <t>Sa</t>
  </si>
  <si>
    <t>Su</t>
  </si>
  <si>
    <t>02/09/26-03/08/26</t>
  </si>
  <si>
    <t>OSR</t>
  </si>
  <si>
    <t>Amion ID</t>
  </si>
  <si>
    <t>Before</t>
  </si>
  <si>
    <t>Block</t>
  </si>
  <si>
    <t>After</t>
  </si>
  <si>
    <t>Phillip Cohen (Med)</t>
  </si>
  <si>
    <t>PC</t>
  </si>
  <si>
    <t>n2b</t>
  </si>
  <si>
    <t>Elizabeth Flagg (Med)</t>
  </si>
  <si>
    <t>EF</t>
  </si>
  <si>
    <t>d2b</t>
  </si>
  <si>
    <t>Abhishek Bhattacharya (Med)</t>
  </si>
  <si>
    <t>ABh</t>
  </si>
  <si>
    <t>d4</t>
  </si>
  <si>
    <t>Tyler Warner (Ortho)</t>
  </si>
  <si>
    <t>n2a</t>
  </si>
  <si>
    <t>d1</t>
  </si>
  <si>
    <t>d2</t>
  </si>
  <si>
    <t>d3</t>
  </si>
  <si>
    <t>d5</t>
  </si>
  <si>
    <t>n2</t>
  </si>
  <si>
    <t>Yonathan Daniel (Med)</t>
  </si>
  <si>
    <t>YD</t>
  </si>
  <si>
    <t>Jeremy Perrelle (Med)</t>
  </si>
  <si>
    <t>JPl</t>
  </si>
  <si>
    <t>Colby Smith (Med)</t>
  </si>
  <si>
    <t>CS</t>
  </si>
  <si>
    <t>d4a</t>
  </si>
  <si>
    <t>Mariela Trejo (Med)</t>
  </si>
  <si>
    <t>MTr</t>
  </si>
  <si>
    <t>Geoffrey Cloud (Med)</t>
  </si>
  <si>
    <t>GC</t>
  </si>
  <si>
    <t>Daniel Grubman (Med)</t>
  </si>
  <si>
    <t>DG</t>
  </si>
  <si>
    <t>Katharine Martin (Med)</t>
  </si>
  <si>
    <t>KMa</t>
  </si>
  <si>
    <t>Carolyn Wilson (Med)</t>
  </si>
  <si>
    <t>CWi</t>
  </si>
  <si>
    <t>Nimi Patel (Psych)</t>
  </si>
  <si>
    <t>NP</t>
  </si>
  <si>
    <t>PGY-1</t>
  </si>
  <si>
    <t>Brian Morrissey</t>
  </si>
  <si>
    <t>BMo</t>
  </si>
  <si>
    <t>k2b</t>
  </si>
  <si>
    <t>k2a</t>
  </si>
  <si>
    <t>t1n</t>
  </si>
  <si>
    <t>Luis Sanchez</t>
  </si>
  <si>
    <t>LSa</t>
  </si>
  <si>
    <t>Jude Luke</t>
  </si>
  <si>
    <t>JL</t>
  </si>
  <si>
    <t>th1a</t>
  </si>
  <si>
    <t>Soley Olafsson</t>
  </si>
  <si>
    <t>SO</t>
  </si>
  <si>
    <t>wc</t>
  </si>
  <si>
    <t>n1</t>
  </si>
  <si>
    <t>n3</t>
  </si>
  <si>
    <t>Ruby Chung</t>
  </si>
  <si>
    <t>RCu</t>
  </si>
  <si>
    <t>d2a</t>
  </si>
  <si>
    <t>Libby Ho</t>
  </si>
  <si>
    <t>LH</t>
  </si>
  <si>
    <t>Leia Kessler</t>
  </si>
  <si>
    <t>LK</t>
  </si>
  <si>
    <t>Gabrielle Ramirez</t>
  </si>
  <si>
    <t>GRa</t>
  </si>
  <si>
    <t>PGY-2</t>
  </si>
  <si>
    <t>Anas Maqsood</t>
  </si>
  <si>
    <t>AM</t>
  </si>
  <si>
    <t>Edom Girma</t>
  </si>
  <si>
    <t>EGi</t>
  </si>
  <si>
    <t>Jacqueline Penn</t>
  </si>
  <si>
    <t>JPe</t>
  </si>
  <si>
    <t>Christopher Connolly</t>
  </si>
  <si>
    <t>CC</t>
  </si>
  <si>
    <t>Eilish Moogan</t>
  </si>
  <si>
    <t>EMo</t>
  </si>
  <si>
    <t>Jason Martinez</t>
  </si>
  <si>
    <t>JMr</t>
  </si>
  <si>
    <t>Paul Capobianco</t>
  </si>
  <si>
    <t>PCa</t>
  </si>
  <si>
    <t>JiMin Ko</t>
  </si>
  <si>
    <t>JK</t>
  </si>
  <si>
    <t>Lauren Chung</t>
  </si>
  <si>
    <t>LCh</t>
  </si>
  <si>
    <t>Nicholas Friedman</t>
  </si>
  <si>
    <t>NFr</t>
  </si>
  <si>
    <t>PGY-3</t>
  </si>
  <si>
    <t>Nir Lavi-Romer</t>
  </si>
  <si>
    <t>NLa</t>
  </si>
  <si>
    <t>D1</t>
  </si>
  <si>
    <t>D3</t>
  </si>
  <si>
    <t>D4</t>
  </si>
  <si>
    <t>NF</t>
  </si>
  <si>
    <t>T1N</t>
  </si>
  <si>
    <t>BKA</t>
  </si>
  <si>
    <t>Spencer Evan</t>
  </si>
  <si>
    <t>MICU</t>
  </si>
  <si>
    <t>BKN / V</t>
  </si>
  <si>
    <t>ED</t>
  </si>
  <si>
    <t>PB2</t>
  </si>
  <si>
    <t>BK2</t>
  </si>
  <si>
    <t>BK9</t>
  </si>
  <si>
    <t>Amy Tan</t>
  </si>
  <si>
    <t>ATa</t>
  </si>
  <si>
    <t>T1a</t>
  </si>
  <si>
    <t>PT2</t>
  </si>
  <si>
    <t>D1a</t>
  </si>
  <si>
    <t>Colin Baylen</t>
  </si>
  <si>
    <t>CBy</t>
  </si>
  <si>
    <t>D3p</t>
  </si>
  <si>
    <t>Jonathan (Jake) Rost</t>
  </si>
  <si>
    <t>JR</t>
  </si>
  <si>
    <t>D5</t>
  </si>
  <si>
    <t>T1p</t>
  </si>
  <si>
    <t>Matthew Generoso</t>
  </si>
  <si>
    <t>MGe</t>
  </si>
  <si>
    <t>Nick Jakupco</t>
  </si>
  <si>
    <t>NJa</t>
  </si>
  <si>
    <t>PT12</t>
  </si>
  <si>
    <t>Sophie Karwoska Kligler</t>
  </si>
  <si>
    <t>SKr</t>
  </si>
  <si>
    <t>Viren Lad</t>
  </si>
  <si>
    <t>VLa</t>
  </si>
  <si>
    <t>Brian Chastain</t>
  </si>
  <si>
    <t>BCh</t>
  </si>
  <si>
    <t>Doug Martin</t>
  </si>
  <si>
    <t>V / BKN</t>
  </si>
  <si>
    <t>Kayla Diedrick</t>
  </si>
  <si>
    <t>Tox-H</t>
  </si>
  <si>
    <t>PGY-4</t>
  </si>
  <si>
    <t xml:space="preserve">After </t>
  </si>
  <si>
    <t>Elie Nwefo</t>
  </si>
  <si>
    <t>EN</t>
  </si>
  <si>
    <t>D2p</t>
  </si>
  <si>
    <t>D2a</t>
  </si>
  <si>
    <t>PT4</t>
  </si>
  <si>
    <t>John Altavilla</t>
  </si>
  <si>
    <t>BKN / E-S</t>
  </si>
  <si>
    <t>PB4</t>
  </si>
  <si>
    <t>BKN</t>
  </si>
  <si>
    <t>N2</t>
  </si>
  <si>
    <t>Nicolas Gonzalez</t>
  </si>
  <si>
    <t>NG</t>
  </si>
  <si>
    <t>Sophia Faude</t>
  </si>
  <si>
    <t>SFa</t>
  </si>
  <si>
    <t>Philip Lin</t>
  </si>
  <si>
    <t>BKN / Elec</t>
  </si>
  <si>
    <t>Christopher Pham</t>
  </si>
  <si>
    <t>CPh</t>
  </si>
  <si>
    <t>Collins Mbachu</t>
  </si>
  <si>
    <t>CM</t>
  </si>
  <si>
    <t>Erica (Jacobs) Cohen</t>
  </si>
  <si>
    <t>EJa</t>
  </si>
  <si>
    <t>Mitchell Foster</t>
  </si>
  <si>
    <t>MF</t>
  </si>
  <si>
    <t>Natalie Bertrand</t>
  </si>
  <si>
    <t>NB</t>
  </si>
  <si>
    <t>Noumi Chowdhury</t>
  </si>
  <si>
    <t>NCh</t>
  </si>
  <si>
    <t>Somil Chugh</t>
  </si>
  <si>
    <t>SCh</t>
  </si>
  <si>
    <t>T110</t>
  </si>
  <si>
    <t>Vivian Chiu</t>
  </si>
  <si>
    <t>VC</t>
  </si>
  <si>
    <t>Annaliese Elam</t>
  </si>
  <si>
    <t>AEl</t>
  </si>
  <si>
    <t>Joonho Lee</t>
  </si>
  <si>
    <t>JoL</t>
  </si>
  <si>
    <t>PB12</t>
  </si>
  <si>
    <t>Marina Gaeta Gazzola</t>
  </si>
  <si>
    <t>MGa</t>
  </si>
  <si>
    <t>Nazanin Sarpoulaki</t>
  </si>
  <si>
    <t>NS</t>
  </si>
  <si>
    <t>Sarah Fetterolf</t>
  </si>
  <si>
    <t>Elec / BKN</t>
  </si>
  <si>
    <t>Adjunct Residents</t>
  </si>
  <si>
    <t>Phoebe Li</t>
  </si>
  <si>
    <t>PL</t>
  </si>
  <si>
    <t>Caroline Brown</t>
  </si>
  <si>
    <t>CB</t>
  </si>
  <si>
    <t>Courtney O'Connor</t>
  </si>
  <si>
    <t>CO</t>
  </si>
  <si>
    <t>Samantha Nakos</t>
  </si>
  <si>
    <t>SNa</t>
  </si>
  <si>
    <t>Neya Vishwanath</t>
  </si>
  <si>
    <t>NV</t>
  </si>
  <si>
    <t>Rachael Hanson</t>
  </si>
  <si>
    <t>CCU</t>
  </si>
  <si>
    <t>OSR/PGY1/PGY2 Schedule:</t>
  </si>
  <si>
    <t>PGY3 Schedule:</t>
  </si>
  <si>
    <t>PGY4 Schedule:</t>
  </si>
  <si>
    <t>Bellevue</t>
  </si>
  <si>
    <r>
      <rPr>
        <b/>
        <sz val="10"/>
        <color rgb="FFFF0000"/>
        <rFont val="Helvetica Neue"/>
        <family val="2"/>
      </rPr>
      <t>WEEK</t>
    </r>
    <r>
      <rPr>
        <b/>
        <u/>
        <sz val="10"/>
        <color rgb="FFFF0000"/>
        <rFont val="Helvetica Neue"/>
        <family val="2"/>
      </rPr>
      <t>END</t>
    </r>
  </si>
  <si>
    <t>Weekdays</t>
  </si>
  <si>
    <t>D1: Team 1 1pm-9pm</t>
  </si>
  <si>
    <t xml:space="preserve">D1: Team 1 8a - 8p </t>
  </si>
  <si>
    <t>D3: Team 3 11a - 9p (1p - 8p on Wed)</t>
  </si>
  <si>
    <t>D2a: Team 2 8a - 4p</t>
  </si>
  <si>
    <t xml:space="preserve">D2: Team 2 8a - 8p </t>
  </si>
  <si>
    <t>D4: Team 4 11a - 9p (1p - 8p on Wed)</t>
  </si>
  <si>
    <r>
      <rPr>
        <sz val="10"/>
        <color rgb="FFFF00FF"/>
        <rFont val="Helvetica Neue"/>
        <family val="2"/>
      </rPr>
      <t>D2a (pink):</t>
    </r>
    <r>
      <rPr>
        <sz val="10"/>
        <color rgb="FFFF00FF"/>
        <rFont val="Helvetica Neue"/>
        <family val="2"/>
      </rPr>
      <t xml:space="preserve"> morning report</t>
    </r>
  </si>
  <si>
    <t xml:space="preserve">D3: Team 3 8a - 8p </t>
  </si>
  <si>
    <t>D5: Team 5 11a - 9p (1p - 8p on Wed)</t>
  </si>
  <si>
    <t>D2p: Team 2 4p - 12a</t>
  </si>
  <si>
    <t>N1: Team 1 8p - 8a</t>
  </si>
  <si>
    <t>D5p: Team 5 2p - 12a</t>
  </si>
  <si>
    <t>N2: Team 2 1145p - 8a</t>
  </si>
  <si>
    <t>N2: Team 2 8p - 8a</t>
  </si>
  <si>
    <t>D1: Team 1 11a - 9p (1p - 8p on Wed)</t>
  </si>
  <si>
    <t>DT: 8a-4p Bellevue Teaching Shift</t>
  </si>
  <si>
    <t>N3: Team 3 8p - 8a</t>
  </si>
  <si>
    <t>NF: 9p - 7a (8p - 6a on Wed)</t>
  </si>
  <si>
    <t>DF: Day Float 8a-4p</t>
  </si>
  <si>
    <r>
      <rPr>
        <b/>
        <sz val="10"/>
        <color rgb="FF0000FF"/>
        <rFont val="Helvetica Neue"/>
        <family val="2"/>
      </rPr>
      <t>WEEK</t>
    </r>
    <r>
      <rPr>
        <b/>
        <u/>
        <sz val="10"/>
        <color rgb="FF0000FF"/>
        <rFont val="Helvetica Neue"/>
        <family val="2"/>
      </rPr>
      <t>DAY</t>
    </r>
  </si>
  <si>
    <t>Weekends</t>
  </si>
  <si>
    <t>DF: Day Float 12p-8p (Wednesday)</t>
  </si>
  <si>
    <t>D1: Team 1 12p - 10p (including Wed)</t>
  </si>
  <si>
    <t>D1a: Team 1 7a - 5p Sat, 8a-6p Sun</t>
  </si>
  <si>
    <t>NYU</t>
  </si>
  <si>
    <t>D2a: Team 2 8a - 7p (expected at LMR)</t>
  </si>
  <si>
    <t>D3p: Team 3 12p - 10p</t>
  </si>
  <si>
    <t>T1a: Tisch Team 1 (Blue Team) 8a - 4p</t>
  </si>
  <si>
    <t xml:space="preserve">D2b: T2 12p - 10p </t>
  </si>
  <si>
    <t>NF: 10p - 8a</t>
  </si>
  <si>
    <t>T1p: Tisch Team 1 (Blue Team) 4p - 12a</t>
  </si>
  <si>
    <t>D3: Team 3 12p - 10p (including Wed)</t>
  </si>
  <si>
    <t>T1N: Tisch Team 1 (Blue Team) 12a - 8a</t>
  </si>
  <si>
    <t xml:space="preserve">D4a: Team 4 8a - 7p </t>
  </si>
  <si>
    <t>T1a: Tisch Team 1 (Blue Team) 8a - 6p</t>
  </si>
  <si>
    <t>T2a: Kimmel Team 2 (Red Team) 8a - 4p</t>
  </si>
  <si>
    <t>D4: Team 4 2p - 12a</t>
  </si>
  <si>
    <t>T1p: Tisch Team 1 (Blue Team) 2p - 12a</t>
  </si>
  <si>
    <t>T2p: Kimmel Team 2 (Red Team) 4p - 12a</t>
  </si>
  <si>
    <t>D5: Team 5 2p - 12a</t>
  </si>
  <si>
    <t>T1N: Tisch Team 1 (Blue Team) 10p - 8a</t>
  </si>
  <si>
    <t>WC: Tisch/Kimmel Float 1p - 9p</t>
  </si>
  <si>
    <t>N1: Team 1 10p - 8a</t>
  </si>
  <si>
    <t>T2a: Kimmel Team 2 (Red Team) 8a - 6p</t>
  </si>
  <si>
    <t>TT: Tisch Teaching Shift 8a-4p</t>
  </si>
  <si>
    <t xml:space="preserve">N2a: Team 2 7p - 5a </t>
  </si>
  <si>
    <t>T2p: Kimmel Team 2 (Red Team) 2p - 12a</t>
  </si>
  <si>
    <t>TF: Tisch Float 8a - 4p</t>
  </si>
  <si>
    <t>N2b:  Team 2 10p - 8a</t>
  </si>
  <si>
    <t>KF: Kimmel Float 12p-8p</t>
  </si>
  <si>
    <t>N3: Team 3 10p - 8a</t>
  </si>
  <si>
    <t>KF: Kimmel Float 12p-10p</t>
  </si>
  <si>
    <t>PGY4 Peds:</t>
  </si>
  <si>
    <t>PGY3 Peds:</t>
  </si>
  <si>
    <t>PB8: PES 8a - 4p</t>
  </si>
  <si>
    <t>Weekday</t>
  </si>
  <si>
    <t>PB8: PES 8a - 6p</t>
  </si>
  <si>
    <t>PT/PB12: PECC/PES 12p - 8p (Tuesdays)</t>
  </si>
  <si>
    <r>
      <rPr>
        <sz val="10"/>
        <color theme="1"/>
        <rFont val="Helvetica Neue"/>
        <family val="2"/>
      </rPr>
      <t>TH Team 1 Junior A (</t>
    </r>
    <r>
      <rPr>
        <b/>
        <sz val="10"/>
        <color theme="1"/>
        <rFont val="Helvetica Neue"/>
        <family val="2"/>
      </rPr>
      <t>TH1a</t>
    </r>
    <r>
      <rPr>
        <sz val="10"/>
        <color theme="1"/>
        <rFont val="Helvetica Neue"/>
        <family val="2"/>
      </rPr>
      <t>) = Blue Team 8a - 6p</t>
    </r>
  </si>
  <si>
    <t>PB2: PES 2p - 12a</t>
  </si>
  <si>
    <t>PB2: PES 2p - 12a (weekend)</t>
  </si>
  <si>
    <r>
      <rPr>
        <sz val="10"/>
        <color theme="1"/>
        <rFont val="Helvetica Neue"/>
        <family val="2"/>
      </rPr>
      <t>TH Team 1 Junior B (</t>
    </r>
    <r>
      <rPr>
        <b/>
        <sz val="10"/>
        <color theme="1"/>
        <rFont val="Helvetica Neue"/>
        <family val="2"/>
      </rPr>
      <t>TH1b</t>
    </r>
    <r>
      <rPr>
        <sz val="10"/>
        <color theme="1"/>
        <rFont val="Helvetica Neue"/>
        <family val="2"/>
      </rPr>
      <t>) = Blue Team 2p-12a</t>
    </r>
  </si>
  <si>
    <t>PT8: PECC 8a - 6p</t>
  </si>
  <si>
    <t>PB4: PES 4p - 12a</t>
  </si>
  <si>
    <r>
      <rPr>
        <sz val="10"/>
        <color theme="1"/>
        <rFont val="Helvetica Neue"/>
        <family val="2"/>
      </rPr>
      <t>TH Team 1 Junior C (</t>
    </r>
    <r>
      <rPr>
        <b/>
        <sz val="10"/>
        <color theme="1"/>
        <rFont val="Helvetica Neue"/>
        <family val="2"/>
      </rPr>
      <t>TH1c</t>
    </r>
    <r>
      <rPr>
        <sz val="10"/>
        <color theme="1"/>
        <rFont val="Helvetica Neue"/>
        <family val="2"/>
      </rPr>
      <t>) = Blue Team 10a-8p</t>
    </r>
  </si>
  <si>
    <t>PT2: PECC  2p - 12a</t>
  </si>
  <si>
    <t>PT8: PECC 8a - 4p</t>
  </si>
  <si>
    <r>
      <rPr>
        <sz val="10"/>
        <color theme="1"/>
        <rFont val="Helvetica Neue"/>
        <family val="2"/>
      </rPr>
      <t>TH Team 1 Junior Night (</t>
    </r>
    <r>
      <rPr>
        <b/>
        <sz val="10"/>
        <color theme="1"/>
        <rFont val="Helvetica Neue"/>
        <family val="2"/>
      </rPr>
      <t>T1N</t>
    </r>
    <r>
      <rPr>
        <sz val="10"/>
        <color theme="1"/>
        <rFont val="Helvetica Neue"/>
        <family val="2"/>
      </rPr>
      <t>) = Blue Night 8p - 6a</t>
    </r>
  </si>
  <si>
    <t>PT/PB12: PECC/PES 12p - 10p (Tuesdays)</t>
  </si>
  <si>
    <t>PT2: PECC 2p - 12a (weekend)</t>
  </si>
  <si>
    <r>
      <rPr>
        <sz val="10"/>
        <color theme="1"/>
        <rFont val="Helvetica Neue"/>
        <family val="2"/>
      </rPr>
      <t>TH Team 1 Junior Night (</t>
    </r>
    <r>
      <rPr>
        <b/>
        <sz val="10"/>
        <color theme="1"/>
        <rFont val="Helvetica Neue"/>
        <family val="2"/>
      </rPr>
      <t>T1N</t>
    </r>
    <r>
      <rPr>
        <sz val="10"/>
        <color theme="1"/>
        <rFont val="Helvetica Neue"/>
        <family val="2"/>
      </rPr>
      <t>) = Blue Night 7:45p - 6a (Wednesday)</t>
    </r>
  </si>
  <si>
    <t>PT9: PECC 9a-7p</t>
  </si>
  <si>
    <t>PT4: PECC 4p - 12a</t>
  </si>
  <si>
    <r>
      <rPr>
        <sz val="10"/>
        <color theme="1"/>
        <rFont val="Helvetica Neue"/>
        <family val="2"/>
      </rPr>
      <t>Kimmel Team 2 Junior A (</t>
    </r>
    <r>
      <rPr>
        <b/>
        <sz val="10"/>
        <color theme="1"/>
        <rFont val="Helvetica Neue"/>
        <family val="2"/>
      </rPr>
      <t>K2a</t>
    </r>
    <r>
      <rPr>
        <sz val="10"/>
        <color theme="1"/>
        <rFont val="Helvetica Neue"/>
        <family val="2"/>
      </rPr>
      <t>) = Red Team 8a - 6p</t>
    </r>
  </si>
  <si>
    <t>PGY3 Brooklyn:</t>
  </si>
  <si>
    <t>PT9: PECC 9a-5p</t>
  </si>
  <si>
    <r>
      <rPr>
        <sz val="10"/>
        <color theme="1"/>
        <rFont val="Helvetica Neue"/>
        <family val="2"/>
      </rPr>
      <t>Kimmel Team 2 Junior A (</t>
    </r>
    <r>
      <rPr>
        <b/>
        <sz val="10"/>
        <color theme="1"/>
        <rFont val="Helvetica Neue"/>
        <family val="2"/>
      </rPr>
      <t>K2b</t>
    </r>
    <r>
      <rPr>
        <sz val="10"/>
        <color theme="1"/>
        <rFont val="Helvetica Neue"/>
        <family val="2"/>
      </rPr>
      <t>) = Red Team 2p-12a</t>
    </r>
  </si>
  <si>
    <t>BK9: Brooklyn 9a-7p</t>
  </si>
  <si>
    <t>PT`10: PECC 10a-6p</t>
  </si>
  <si>
    <t>BK2: Brooklyn 2p-12a</t>
  </si>
  <si>
    <t>PT11: PECC 11a-7p</t>
  </si>
  <si>
    <r>
      <rPr>
        <sz val="10"/>
        <color theme="1"/>
        <rFont val="Helvetica Neue"/>
        <family val="2"/>
      </rPr>
      <t>TH Team 1 Junior A (</t>
    </r>
    <r>
      <rPr>
        <b/>
        <sz val="10"/>
        <color theme="1"/>
        <rFont val="Helvetica Neue"/>
        <family val="2"/>
      </rPr>
      <t>TH1a</t>
    </r>
    <r>
      <rPr>
        <sz val="10"/>
        <color theme="1"/>
        <rFont val="Helvetica Neue"/>
        <family val="2"/>
      </rPr>
      <t>) = Blue Team 8a - 8p</t>
    </r>
  </si>
  <si>
    <t>BKA: Brooklyn A-side 10a-8p</t>
  </si>
  <si>
    <t>PGY4 Brooklyn:</t>
  </si>
  <si>
    <r>
      <rPr>
        <sz val="10"/>
        <color theme="1"/>
        <rFont val="Helvetica Neue"/>
        <family val="2"/>
      </rPr>
      <t>Kimmel Team 2 Junior A (</t>
    </r>
    <r>
      <rPr>
        <b/>
        <sz val="10"/>
        <color theme="1"/>
        <rFont val="Helvetica Neue"/>
        <family val="2"/>
      </rPr>
      <t>K2a</t>
    </r>
    <r>
      <rPr>
        <sz val="10"/>
        <color theme="1"/>
        <rFont val="Helvetica Neue"/>
        <family val="2"/>
      </rPr>
      <t>) = Red Team 8a - 8p</t>
    </r>
  </si>
  <si>
    <t>BKN: Brooklyn night 8p-6a</t>
  </si>
  <si>
    <r>
      <rPr>
        <sz val="10"/>
        <color theme="1"/>
        <rFont val="Helvetica Neue"/>
        <family val="2"/>
      </rPr>
      <t>TH Team 1 Night (</t>
    </r>
    <r>
      <rPr>
        <b/>
        <sz val="10"/>
        <color theme="1"/>
        <rFont val="Helvetica Neue"/>
        <family val="2"/>
      </rPr>
      <t>T1N</t>
    </r>
    <r>
      <rPr>
        <sz val="10"/>
        <color theme="1"/>
        <rFont val="Helvetica Neue"/>
        <family val="2"/>
      </rPr>
      <t>) = Blue Team 8p - 8a</t>
    </r>
  </si>
  <si>
    <t>Peds:</t>
  </si>
  <si>
    <t>PB/PT9: PES/PECC 9p - 7p</t>
  </si>
  <si>
    <t>PB/PT12: PES/PECC 12 - 10p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</si>
  <si>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</si>
  <si>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</si>
  <si>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</si>
  <si>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</si>
  <si>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</si>
  <si>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</si>
  <si>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</si>
  <si>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</si>
  <si>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</si>
  <si>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</si>
  <si>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</si>
  <si>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</si>
  <si>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</si>
  <si>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</si>
  <si>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</si>
  <si>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</si>
  <si>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</si>
  <si>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</si>
  <si>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</si>
  <si>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</si>
  <si>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</si>
  <si>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</si>
  <si>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</si>
  <si>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</si>
  <si>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</si>
  <si>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</si>
  <si>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Logan Brich</t>
  </si>
  <si>
    <t>O</t>
  </si>
  <si>
    <t>SICU</t>
  </si>
  <si>
    <t>PSY</t>
  </si>
  <si>
    <t>V</t>
  </si>
  <si>
    <t>TH</t>
  </si>
  <si>
    <t>AnUS</t>
  </si>
  <si>
    <t>BH</t>
  </si>
  <si>
    <t>BK</t>
  </si>
  <si>
    <t>NICU</t>
  </si>
  <si>
    <t>PedT</t>
  </si>
  <si>
    <t>J</t>
  </si>
  <si>
    <t>PedB</t>
  </si>
  <si>
    <t>Jenna Ehlert</t>
  </si>
  <si>
    <t>Grace Feng</t>
  </si>
  <si>
    <t>Gabriel Luce</t>
  </si>
  <si>
    <t>Liam Mcloughlin</t>
  </si>
  <si>
    <t>Miray Mirham</t>
  </si>
  <si>
    <t>Michelle Safransky</t>
  </si>
  <si>
    <t>Samanta Torres Bertorelli</t>
  </si>
  <si>
    <t>Key: Name and Location</t>
  </si>
  <si>
    <t>O: Orientation</t>
  </si>
  <si>
    <t>BH: Bellevue ED (BH)</t>
  </si>
  <si>
    <t>TH: Tisch ED (TH)</t>
  </si>
  <si>
    <t>BK: NYU Brooklyn ED</t>
  </si>
  <si>
    <t>PedB: Bellevue Pediatrics (BH)</t>
  </si>
  <si>
    <t>PedT: NYU Peds ED (TH)</t>
  </si>
  <si>
    <t>M: Medicine (BH)</t>
  </si>
  <si>
    <t>MICU: Medical ICU (BH/TH)</t>
  </si>
  <si>
    <t>SICU: Surgical ICU (BH)</t>
  </si>
  <si>
    <t>T: Trauma (BH)</t>
  </si>
  <si>
    <t>NICU: Neonatal ICU (TH)</t>
  </si>
  <si>
    <t>CPEP (PSY): (BH/TH)</t>
  </si>
  <si>
    <t>J: Jeopardy (Sick Call)</t>
  </si>
  <si>
    <t>AnUs: Anesthesia and Ultrasound (BH/TH)</t>
  </si>
  <si>
    <t>V: Vacation</t>
  </si>
  <si>
    <t>BH/TH</t>
  </si>
  <si>
    <t>EMS</t>
  </si>
  <si>
    <t>Ob</t>
  </si>
  <si>
    <t>Ortho</t>
  </si>
  <si>
    <t>Avery Tamakloe</t>
  </si>
  <si>
    <t>Dave Youssef</t>
  </si>
  <si>
    <t>Madison Polay</t>
  </si>
  <si>
    <t>Nicholas Vecchio</t>
  </si>
  <si>
    <t>Nick Scott</t>
  </si>
  <si>
    <t>Rachana Chilakapati</t>
  </si>
  <si>
    <t>Rachel Friend</t>
  </si>
  <si>
    <t>BH/TH: Bellevue and Tisch ED</t>
  </si>
  <si>
    <t>Peds: Bellevue Peds ED (PES)</t>
  </si>
  <si>
    <t>Ortho: Bellevue Ortho Consult (BH)</t>
  </si>
  <si>
    <t>OB: Obstetrics Nights (TH)</t>
  </si>
  <si>
    <t>CCU: Cardiac Critical Care (BH)</t>
  </si>
  <si>
    <t>EMS: Emergency Medical Services (FDNY)</t>
  </si>
  <si>
    <t>Elec</t>
  </si>
  <si>
    <t>PICU</t>
  </si>
  <si>
    <t>Tox-SC</t>
  </si>
  <si>
    <t>CH</t>
  </si>
  <si>
    <t>Hand</t>
  </si>
  <si>
    <t>Douglas Martin</t>
  </si>
  <si>
    <t>Elaine Jonas</t>
  </si>
  <si>
    <t>Mac Josh Reandelar</t>
  </si>
  <si>
    <t>Milos Tomovic</t>
  </si>
  <si>
    <t>Spencer Evans</t>
  </si>
  <si>
    <t>Brooklyn</t>
  </si>
  <si>
    <t>Medical ICU</t>
  </si>
  <si>
    <t>Elective</t>
  </si>
  <si>
    <t>Peds ICU</t>
  </si>
  <si>
    <t xml:space="preserve">Tox/Sick Call </t>
  </si>
  <si>
    <t xml:space="preserve">Tox Heavy </t>
  </si>
  <si>
    <t xml:space="preserve">Cobble Hill </t>
  </si>
  <si>
    <t xml:space="preserve">Vacation </t>
  </si>
  <si>
    <t>7/1-7/7</t>
  </si>
  <si>
    <t>E-S</t>
  </si>
  <si>
    <t>ED/V</t>
  </si>
  <si>
    <t>V/Elec</t>
  </si>
  <si>
    <t>Elec/ED</t>
  </si>
  <si>
    <t>Hand/Elec</t>
  </si>
  <si>
    <t xml:space="preserve">Elective </t>
  </si>
  <si>
    <t xml:space="preserve">Brooklyn </t>
  </si>
  <si>
    <t>Elective/Sick Call</t>
  </si>
  <si>
    <t>Off service rotator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</si>
</sst>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8">
    <font>
      <sz val="10"/>
      <color rgb="FF000000"/>
      <name val="Helvetica Neue"/>
      <scheme val="minor"/>
    </font>
    <font>
      <u/>
      <sz val="10"/>
      <color rgb="FF0000FF"/>
      <name val="&quot;Helvetica Neue&quot;"/>
    </font>
    <font>
      <sz val="10"/>
      <color theme="1"/>
      <name val="&quot;Helvetica Neue&quot;"/>
    </font>
    <font>
      <b/>
      <sz val="10"/>
      <color theme="1"/>
      <name val="&quot;Helvetica Neue&quot;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&quot;\&quot;\\\&quot;Helvetica Neue\\\&quot;\&quot;&quot;"/>
    </font>
    <font>
      <b/>
      <u/>
      <sz val="10"/>
      <color theme="1"/>
      <name val="Arial"/>
      <family val="2"/>
    </font>
    <font>
      <b/>
      <u/>
      <sz val="10"/>
      <color theme="1"/>
      <name val="&quot;Helvetica Neue&quot;"/>
    </font>
    <font>
      <b/>
      <u/>
      <sz val="10"/>
      <color theme="1"/>
      <name val="&quot;Helvetica Neue&quot;"/>
    </font>
    <font>
      <sz val="10"/>
      <color theme="1"/>
      <name val="Helvetica Neue"/>
      <family val="2"/>
      <scheme val="minor"/>
    </font>
    <font>
      <sz val="9"/>
      <color rgb="FF0000FF"/>
      <name val="Arial"/>
      <family val="2"/>
    </font>
    <font>
      <b/>
      <u/>
      <sz val="10"/>
      <color theme="1"/>
      <name val="Arial"/>
      <family val="2"/>
    </font>
    <font>
      <sz val="9"/>
      <color rgb="FF000000"/>
      <name val="&quot;\&quot;Helvetica Neue\&quot;&quot;"/>
    </font>
    <font>
      <sz val="9"/>
      <color rgb="FF000000"/>
      <name val="Arial"/>
      <family val="2"/>
    </font>
    <font>
      <sz val="10"/>
      <color theme="1"/>
      <name val="Helvetica Neue"/>
      <family val="2"/>
    </font>
    <font>
      <sz val="9"/>
      <color theme="1"/>
      <name val="Arial"/>
      <family val="2"/>
    </font>
    <font>
      <sz val="10"/>
      <color rgb="FF0000FF"/>
      <name val="Helvetica Neue"/>
      <family val="2"/>
    </font>
    <font>
      <sz val="10"/>
      <color rgb="FF0000FF"/>
      <name val="Arial"/>
      <family val="2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FF"/>
      <name val="Helvetica Neue"/>
      <family val="2"/>
    </font>
    <font>
      <sz val="10"/>
      <color rgb="FFFF00FF"/>
      <name val="&quot;Helvetica Neue&quot;"/>
    </font>
    <font>
      <sz val="10"/>
      <color rgb="FF000000"/>
      <name val="Arial"/>
      <family val="2"/>
    </font>
    <font>
      <b/>
      <sz val="10"/>
      <color theme="1"/>
      <name val="Helvetica Neue"/>
      <family val="2"/>
    </font>
    <font>
      <sz val="10"/>
      <name val="Helvetica Neue"/>
      <family val="2"/>
    </font>
    <font>
      <b/>
      <sz val="10"/>
      <color rgb="FFFF0000"/>
      <name val="Helvetica Neue"/>
      <family val="2"/>
    </font>
    <font>
      <b/>
      <sz val="10"/>
      <color theme="1"/>
      <name val="Helvetica Neue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Helvetica Neue"/>
      <family val="2"/>
      <scheme val="minor"/>
    </font>
    <font>
      <b/>
      <u/>
      <sz val="10"/>
      <color rgb="FFFF0000"/>
      <name val="Helvetica Neue"/>
      <family val="2"/>
    </font>
    <font>
      <b/>
      <sz val="10"/>
      <color rgb="FF0000FF"/>
      <name val="Helvetica Neue"/>
      <family val="2"/>
    </font>
    <font>
      <b/>
      <u/>
      <sz val="10"/>
      <color rgb="FF0000FF"/>
      <name val="Helvetica Neue"/>
      <family val="2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83DCE3"/>
        <bgColor rgb="FF83DCE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4CDFF"/>
        <bgColor rgb="FFE4CD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E46B6"/>
        <bgColor rgb="FFEE46B6"/>
      </patternFill>
    </fill>
    <fill>
      <patternFill patternType="solid">
        <fgColor rgb="FFB7E1CD"/>
        <bgColor rgb="FFB7E1CD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4285F4"/>
        <bgColor rgb="FF4285F4"/>
      </patternFill>
    </fill>
    <fill>
      <patternFill patternType="solid">
        <fgColor rgb="FFB7B7B7"/>
        <bgColor rgb="FFB7B7B7"/>
      </patternFill>
    </fill>
    <fill>
      <patternFill patternType="solid">
        <fgColor rgb="FF0B8043"/>
        <bgColor rgb="FF0B8043"/>
      </patternFill>
    </fill>
    <fill>
      <patternFill patternType="solid">
        <fgColor rgb="FFE96C92"/>
        <bgColor rgb="FFE96C92"/>
      </patternFill>
    </fill>
    <fill>
      <patternFill patternType="solid">
        <fgColor rgb="FFA5D4FF"/>
        <bgColor rgb="FFA5D4FF"/>
      </patternFill>
    </fill>
    <fill>
      <patternFill patternType="solid">
        <fgColor theme="9"/>
        <bgColor theme="9"/>
      </patternFill>
    </fill>
    <fill>
      <patternFill patternType="solid">
        <fgColor rgb="FF00CFFF"/>
        <bgColor rgb="FF00CFFF"/>
      </patternFill>
    </fill>
    <fill>
      <patternFill patternType="solid">
        <fgColor rgb="FFFF9696"/>
        <bgColor rgb="FFFF9696"/>
      </patternFill>
    </fill>
    <fill>
      <patternFill patternType="solid">
        <fgColor rgb="FFE8FB04"/>
        <bgColor rgb="FFE8FB04"/>
      </patternFill>
    </fill>
    <fill>
      <patternFill patternType="solid">
        <fgColor rgb="FFA897DA"/>
        <bgColor rgb="FFA897DA"/>
      </patternFill>
    </fill>
    <fill>
      <patternFill patternType="solid">
        <fgColor rgb="FFFEC8F3"/>
        <bgColor rgb="FFFEC8F3"/>
      </patternFill>
    </fill>
    <fill>
      <patternFill patternType="solid">
        <fgColor rgb="FFE3F7AC"/>
        <bgColor rgb="FFE3F7AC"/>
      </patternFill>
    </fill>
    <fill>
      <patternFill patternType="solid">
        <fgColor rgb="FFE6C6EF"/>
        <bgColor rgb="FFE6C6EF"/>
      </patternFill>
    </fill>
    <fill>
      <patternFill patternType="solid">
        <fgColor rgb="FFFF99EB"/>
        <bgColor rgb="FFFF99EB"/>
      </patternFill>
    </fill>
    <fill>
      <patternFill patternType="solid">
        <fgColor rgb="FFDD7E6B"/>
        <bgColor rgb="FFDD7E6B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7" fillId="8" borderId="0" xfId="0" applyFont="1" applyFill="1"/>
    <xf numFmtId="0" fontId="8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2" fillId="8" borderId="0" xfId="0" applyFont="1" applyFill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0" fontId="2" fillId="9" borderId="0" xfId="0" applyFont="1" applyFill="1"/>
    <xf numFmtId="0" fontId="11" fillId="0" borderId="0" xfId="0" applyFont="1" applyAlignment="1">
      <alignment horizontal="center"/>
    </xf>
    <xf numFmtId="0" fontId="11" fillId="10" borderId="0" xfId="0" applyFont="1" applyFill="1" applyAlignment="1">
      <alignment horizontal="center"/>
    </xf>
    <xf numFmtId="0" fontId="5" fillId="2" borderId="0" xfId="0" applyFont="1" applyFill="1"/>
    <xf numFmtId="0" fontId="4" fillId="0" borderId="0" xfId="0" applyFont="1"/>
    <xf numFmtId="0" fontId="11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0" fillId="8" borderId="0" xfId="0" applyFont="1" applyFill="1"/>
    <xf numFmtId="0" fontId="12" fillId="8" borderId="0" xfId="0" applyFont="1" applyFill="1" applyAlignment="1">
      <alignment horizontal="center"/>
    </xf>
    <xf numFmtId="0" fontId="13" fillId="8" borderId="0" xfId="0" applyFont="1" applyFill="1"/>
    <xf numFmtId="0" fontId="14" fillId="8" borderId="0" xfId="0" applyFont="1" applyFill="1" applyAlignment="1">
      <alignment horizontal="center"/>
    </xf>
    <xf numFmtId="0" fontId="15" fillId="0" borderId="0" xfId="0" applyFont="1"/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8" fillId="8" borderId="0" xfId="0" applyFont="1" applyFill="1"/>
    <xf numFmtId="0" fontId="5" fillId="0" borderId="0" xfId="0" applyFont="1"/>
    <xf numFmtId="0" fontId="19" fillId="0" borderId="0" xfId="0" applyFont="1" applyAlignment="1">
      <alignment horizontal="center"/>
    </xf>
    <xf numFmtId="0" fontId="19" fillId="6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0" fillId="0" borderId="0" xfId="0" applyFont="1"/>
    <xf numFmtId="0" fontId="21" fillId="11" borderId="0" xfId="0" applyFont="1" applyFill="1" applyAlignment="1">
      <alignment horizontal="center"/>
    </xf>
    <xf numFmtId="0" fontId="20" fillId="12" borderId="0" xfId="0" applyFont="1" applyFill="1"/>
    <xf numFmtId="0" fontId="21" fillId="12" borderId="0" xfId="0" applyFont="1" applyFill="1" applyAlignment="1">
      <alignment horizontal="center"/>
    </xf>
    <xf numFmtId="0" fontId="20" fillId="3" borderId="0" xfId="0" applyFont="1" applyFill="1"/>
    <xf numFmtId="0" fontId="22" fillId="12" borderId="0" xfId="0" applyFont="1" applyFill="1"/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20" fillId="11" borderId="0" xfId="0" applyFont="1" applyFill="1"/>
    <xf numFmtId="0" fontId="4" fillId="1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0" fillId="10" borderId="0" xfId="0" applyFont="1" applyFill="1"/>
    <xf numFmtId="0" fontId="20" fillId="6" borderId="0" xfId="0" applyFont="1" applyFill="1"/>
    <xf numFmtId="0" fontId="20" fillId="13" borderId="0" xfId="0" applyFont="1" applyFill="1"/>
    <xf numFmtId="0" fontId="20" fillId="14" borderId="0" xfId="0" applyFont="1" applyFill="1"/>
    <xf numFmtId="0" fontId="4" fillId="2" borderId="0" xfId="0" applyFont="1" applyFill="1"/>
    <xf numFmtId="0" fontId="4" fillId="14" borderId="0" xfId="0" applyFont="1" applyFill="1" applyAlignment="1">
      <alignment horizontal="center"/>
    </xf>
    <xf numFmtId="0" fontId="20" fillId="15" borderId="0" xfId="0" applyFont="1" applyFill="1"/>
    <xf numFmtId="0" fontId="22" fillId="1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3" fillId="12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0" fontId="24" fillId="8" borderId="0" xfId="0" applyFont="1" applyFill="1" applyAlignment="1">
      <alignment horizontal="center"/>
    </xf>
    <xf numFmtId="0" fontId="20" fillId="8" borderId="0" xfId="0" applyFont="1" applyFill="1"/>
    <xf numFmtId="0" fontId="25" fillId="0" borderId="0" xfId="0" applyFont="1" applyAlignment="1">
      <alignment horizontal="center"/>
    </xf>
    <xf numFmtId="0" fontId="20" fillId="12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26" fillId="16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0" fillId="17" borderId="0" xfId="0" applyFont="1" applyFill="1"/>
    <xf numFmtId="0" fontId="20" fillId="11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1" fillId="0" borderId="0" xfId="0" applyFont="1"/>
    <xf numFmtId="0" fontId="11" fillId="6" borderId="0" xfId="0" applyFont="1" applyFill="1"/>
    <xf numFmtId="0" fontId="11" fillId="10" borderId="0" xfId="0" applyFont="1" applyFill="1"/>
    <xf numFmtId="0" fontId="11" fillId="3" borderId="3" xfId="0" applyFont="1" applyFill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11" fillId="0" borderId="3" xfId="0" applyFont="1" applyBorder="1"/>
    <xf numFmtId="0" fontId="11" fillId="6" borderId="3" xfId="0" applyFont="1" applyFill="1" applyBorder="1"/>
    <xf numFmtId="0" fontId="11" fillId="6" borderId="3" xfId="0" applyFont="1" applyFill="1" applyBorder="1" applyAlignment="1">
      <alignment horizontal="center"/>
    </xf>
    <xf numFmtId="0" fontId="20" fillId="0" borderId="6" xfId="0" applyFont="1" applyBorder="1"/>
    <xf numFmtId="0" fontId="2" fillId="2" borderId="0" xfId="0" applyFont="1" applyFill="1"/>
    <xf numFmtId="0" fontId="20" fillId="0" borderId="8" xfId="0" applyFont="1" applyBorder="1"/>
    <xf numFmtId="0" fontId="20" fillId="0" borderId="7" xfId="0" applyFont="1" applyBorder="1"/>
    <xf numFmtId="0" fontId="20" fillId="0" borderId="9" xfId="0" applyFont="1" applyBorder="1"/>
    <xf numFmtId="0" fontId="20" fillId="0" borderId="10" xfId="0" applyFont="1" applyBorder="1"/>
    <xf numFmtId="0" fontId="32" fillId="23" borderId="0" xfId="0" applyFont="1" applyFill="1"/>
    <xf numFmtId="0" fontId="10" fillId="23" borderId="10" xfId="0" applyFont="1" applyFill="1" applyBorder="1" applyAlignment="1">
      <alignment horizontal="center"/>
    </xf>
    <xf numFmtId="0" fontId="10" fillId="23" borderId="1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24" borderId="11" xfId="0" applyFont="1" applyFill="1" applyBorder="1" applyAlignment="1">
      <alignment horizontal="center"/>
    </xf>
    <xf numFmtId="164" fontId="4" fillId="23" borderId="12" xfId="0" applyNumberFormat="1" applyFont="1" applyFill="1" applyBorder="1" applyAlignment="1">
      <alignment horizontal="center"/>
    </xf>
    <xf numFmtId="164" fontId="4" fillId="23" borderId="10" xfId="0" applyNumberFormat="1" applyFont="1" applyFill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19" borderId="10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4" fontId="4" fillId="25" borderId="10" xfId="0" applyNumberFormat="1" applyFont="1" applyFill="1" applyBorder="1" applyAlignment="1">
      <alignment horizontal="center"/>
    </xf>
    <xf numFmtId="0" fontId="4" fillId="2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0" fillId="2" borderId="0" xfId="0" applyFont="1" applyFill="1"/>
    <xf numFmtId="0" fontId="34" fillId="23" borderId="0" xfId="0" applyFont="1" applyFill="1"/>
    <xf numFmtId="0" fontId="7" fillId="23" borderId="10" xfId="0" applyFont="1" applyFill="1" applyBorder="1" applyAlignment="1">
      <alignment horizontal="center"/>
    </xf>
    <xf numFmtId="0" fontId="7" fillId="23" borderId="1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4" borderId="10" xfId="0" applyFont="1" applyFill="1" applyBorder="1" applyAlignment="1">
      <alignment horizontal="center"/>
    </xf>
    <xf numFmtId="0" fontId="7" fillId="24" borderId="11" xfId="0" applyFont="1" applyFill="1" applyBorder="1" applyAlignment="1">
      <alignment horizontal="center"/>
    </xf>
    <xf numFmtId="0" fontId="34" fillId="0" borderId="0" xfId="0" applyFont="1"/>
    <xf numFmtId="164" fontId="5" fillId="23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19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8" borderId="1" xfId="0" applyFont="1" applyFill="1" applyBorder="1" applyAlignment="1">
      <alignment horizontal="center"/>
    </xf>
    <xf numFmtId="0" fontId="5" fillId="39" borderId="1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/>
    </xf>
    <xf numFmtId="0" fontId="5" fillId="41" borderId="1" xfId="0" applyFont="1" applyFill="1" applyBorder="1" applyAlignment="1">
      <alignment horizontal="center"/>
    </xf>
    <xf numFmtId="0" fontId="5" fillId="42" borderId="1" xfId="0" applyFont="1" applyFill="1" applyBorder="1" applyAlignment="1">
      <alignment horizontal="center"/>
    </xf>
    <xf numFmtId="0" fontId="5" fillId="43" borderId="1" xfId="0" applyFont="1" applyFill="1" applyBorder="1" applyAlignment="1">
      <alignment horizontal="center"/>
    </xf>
    <xf numFmtId="0" fontId="5" fillId="44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45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15" fillId="41" borderId="1" xfId="0" applyFont="1" applyFill="1" applyBorder="1"/>
    <xf numFmtId="0" fontId="15" fillId="0" borderId="1" xfId="0" applyFont="1" applyBorder="1"/>
    <xf numFmtId="0" fontId="7" fillId="2" borderId="0" xfId="0" applyFont="1" applyFill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15" fillId="23" borderId="0" xfId="0" applyFont="1" applyFill="1"/>
    <xf numFmtId="164" fontId="4" fillId="23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19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25" borderId="1" xfId="0" applyNumberFormat="1" applyFont="1" applyFill="1" applyBorder="1" applyAlignment="1">
      <alignment horizontal="center"/>
    </xf>
    <xf numFmtId="0" fontId="4" fillId="4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7" borderId="1" xfId="0" applyFont="1" applyFill="1" applyBorder="1" applyAlignment="1">
      <alignment horizontal="center"/>
    </xf>
    <xf numFmtId="0" fontId="4" fillId="48" borderId="1" xfId="0" applyFont="1" applyFill="1" applyBorder="1" applyAlignment="1">
      <alignment horizontal="center"/>
    </xf>
    <xf numFmtId="0" fontId="4" fillId="49" borderId="1" xfId="0" applyFont="1" applyFill="1" applyBorder="1" applyAlignment="1">
      <alignment horizontal="center"/>
    </xf>
    <xf numFmtId="0" fontId="4" fillId="50" borderId="1" xfId="0" applyFont="1" applyFill="1" applyBorder="1" applyAlignment="1">
      <alignment horizontal="center"/>
    </xf>
    <xf numFmtId="0" fontId="4" fillId="30" borderId="1" xfId="0" applyFont="1" applyFill="1" applyBorder="1" applyAlignment="1">
      <alignment horizontal="center"/>
    </xf>
    <xf numFmtId="0" fontId="4" fillId="39" borderId="1" xfId="0" applyFont="1" applyFill="1" applyBorder="1" applyAlignment="1">
      <alignment horizontal="center"/>
    </xf>
    <xf numFmtId="0" fontId="4" fillId="51" borderId="1" xfId="0" applyFont="1" applyFill="1" applyBorder="1" applyAlignment="1">
      <alignment horizontal="center"/>
    </xf>
    <xf numFmtId="0" fontId="4" fillId="52" borderId="1" xfId="0" applyFont="1" applyFill="1" applyBorder="1" applyAlignment="1">
      <alignment horizontal="center"/>
    </xf>
    <xf numFmtId="0" fontId="4" fillId="30" borderId="0" xfId="0" applyFont="1" applyFill="1" applyAlignment="1">
      <alignment horizontal="center"/>
    </xf>
    <xf numFmtId="0" fontId="4" fillId="48" borderId="0" xfId="0" applyFont="1" applyFill="1" applyAlignment="1">
      <alignment horizontal="center"/>
    </xf>
    <xf numFmtId="0" fontId="4" fillId="52" borderId="0" xfId="0" applyFont="1" applyFill="1" applyAlignment="1">
      <alignment horizontal="center"/>
    </xf>
    <xf numFmtId="0" fontId="10" fillId="30" borderId="0" xfId="0" applyFont="1" applyFill="1" applyAlignment="1">
      <alignment horizontal="center"/>
    </xf>
    <xf numFmtId="0" fontId="4" fillId="49" borderId="0" xfId="0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1" borderId="0" xfId="0" applyFont="1" applyFill="1" applyAlignment="1">
      <alignment horizontal="center"/>
    </xf>
    <xf numFmtId="0" fontId="4" fillId="49" borderId="1" xfId="0" applyFont="1" applyFill="1" applyBorder="1"/>
    <xf numFmtId="0" fontId="4" fillId="50" borderId="1" xfId="0" applyFont="1" applyFill="1" applyBorder="1"/>
    <xf numFmtId="0" fontId="4" fillId="17" borderId="1" xfId="0" applyFont="1" applyFill="1" applyBorder="1" applyAlignment="1">
      <alignment horizontal="center"/>
    </xf>
    <xf numFmtId="0" fontId="4" fillId="25" borderId="0" xfId="0" applyFont="1" applyFill="1"/>
    <xf numFmtId="0" fontId="4" fillId="52" borderId="1" xfId="0" applyFont="1" applyFill="1" applyBorder="1"/>
    <xf numFmtId="0" fontId="4" fillId="51" borderId="1" xfId="0" applyFont="1" applyFill="1" applyBorder="1"/>
    <xf numFmtId="0" fontId="4" fillId="48" borderId="1" xfId="0" applyFont="1" applyFill="1" applyBorder="1"/>
    <xf numFmtId="0" fontId="10" fillId="9" borderId="10" xfId="0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53" borderId="1" xfId="0" applyFont="1" applyFill="1" applyBorder="1" applyAlignment="1">
      <alignment horizontal="center"/>
    </xf>
    <xf numFmtId="0" fontId="4" fillId="52" borderId="0" xfId="0" applyFont="1" applyFill="1"/>
    <xf numFmtId="0" fontId="4" fillId="51" borderId="0" xfId="0" applyFont="1" applyFill="1"/>
    <xf numFmtId="0" fontId="4" fillId="48" borderId="0" xfId="0" applyFont="1" applyFill="1"/>
    <xf numFmtId="0" fontId="32" fillId="0" borderId="0" xfId="0" applyFont="1"/>
    <xf numFmtId="0" fontId="29" fillId="19" borderId="6" xfId="0" applyFont="1" applyFill="1" applyBorder="1"/>
    <xf numFmtId="0" fontId="0" fillId="0" borderId="0" xfId="0"/>
    <xf numFmtId="0" fontId="30" fillId="0" borderId="7" xfId="0" applyFont="1" applyBorder="1"/>
    <xf numFmtId="0" fontId="20" fillId="0" borderId="6" xfId="0" applyFont="1" applyBorder="1"/>
    <xf numFmtId="0" fontId="29" fillId="9" borderId="4" xfId="0" applyFont="1" applyFill="1" applyBorder="1"/>
    <xf numFmtId="0" fontId="30" fillId="0" borderId="3" xfId="0" applyFont="1" applyBorder="1"/>
    <xf numFmtId="0" fontId="30" fillId="0" borderId="5" xfId="0" applyFont="1" applyBorder="1"/>
    <xf numFmtId="0" fontId="29" fillId="18" borderId="6" xfId="0" applyFont="1" applyFill="1" applyBorder="1"/>
    <xf numFmtId="0" fontId="31" fillId="19" borderId="6" xfId="0" applyFont="1" applyFill="1" applyBorder="1"/>
    <xf numFmtId="0" fontId="26" fillId="0" borderId="6" xfId="0" applyFont="1" applyBorder="1"/>
    <xf numFmtId="0" fontId="29" fillId="20" borderId="6" xfId="0" applyFont="1" applyFill="1" applyBorder="1"/>
    <xf numFmtId="0" fontId="20" fillId="0" borderId="0" xfId="0" applyFont="1"/>
    <xf numFmtId="0" fontId="29" fillId="22" borderId="6" xfId="0" applyFont="1" applyFill="1" applyBorder="1"/>
    <xf numFmtId="0" fontId="20" fillId="0" borderId="6" xfId="0" applyFont="1" applyBorder="1" applyAlignment="1">
      <alignment wrapText="1"/>
    </xf>
    <xf numFmtId="0" fontId="20" fillId="0" borderId="8" xfId="0" applyFont="1" applyBorder="1"/>
    <xf numFmtId="0" fontId="30" fillId="0" borderId="9" xfId="0" applyFont="1" applyBorder="1"/>
    <xf numFmtId="0" fontId="30" fillId="0" borderId="10" xfId="0" applyFont="1" applyBorder="1"/>
    <xf numFmtId="0" fontId="29" fillId="21" borderId="6" xfId="0" applyFont="1" applyFill="1" applyBorder="1"/>
    <xf numFmtId="0" fontId="29" fillId="0" borderId="6" xfId="0" applyFont="1" applyBorder="1"/>
    <xf numFmtId="0" fontId="29" fillId="22" borderId="0" xfId="0" applyFont="1" applyFill="1"/>
    <xf numFmtId="0" fontId="29" fillId="0" borderId="2" xfId="0" applyFont="1" applyBorder="1" applyAlignment="1">
      <alignment horizontal="center"/>
    </xf>
    <xf numFmtId="0" fontId="30" fillId="0" borderId="13" xfId="0" applyFont="1" applyBorder="1"/>
    <xf numFmtId="0" fontId="30" fillId="0" borderId="11" xfId="0" applyFont="1" applyBorder="1"/>
    <xf numFmtId="0" fontId="10" fillId="23" borderId="8" xfId="0" applyFont="1" applyFill="1" applyBorder="1"/>
    <xf numFmtId="0" fontId="10" fillId="9" borderId="8" xfId="0" applyFont="1" applyFill="1" applyBorder="1"/>
    <xf numFmtId="0" fontId="10" fillId="26" borderId="8" xfId="0" applyFont="1" applyFill="1" applyBorder="1"/>
    <xf numFmtId="0" fontId="10" fillId="12" borderId="8" xfId="0" applyFont="1" applyFill="1" applyBorder="1"/>
    <xf numFmtId="0" fontId="10" fillId="27" borderId="8" xfId="0" applyFont="1" applyFill="1" applyBorder="1"/>
    <xf numFmtId="0" fontId="10" fillId="28" borderId="8" xfId="0" applyFont="1" applyFill="1" applyBorder="1"/>
    <xf numFmtId="1" fontId="10" fillId="36" borderId="8" xfId="0" applyNumberFormat="1" applyFont="1" applyFill="1" applyBorder="1"/>
    <xf numFmtId="1" fontId="33" fillId="37" borderId="8" xfId="0" applyNumberFormat="1" applyFont="1" applyFill="1" applyBorder="1"/>
    <xf numFmtId="0" fontId="10" fillId="29" borderId="8" xfId="0" applyFont="1" applyFill="1" applyBorder="1"/>
    <xf numFmtId="0" fontId="7" fillId="30" borderId="8" xfId="0" applyFont="1" applyFill="1" applyBorder="1"/>
    <xf numFmtId="0" fontId="10" fillId="31" borderId="8" xfId="0" applyFont="1" applyFill="1" applyBorder="1"/>
    <xf numFmtId="0" fontId="33" fillId="32" borderId="8" xfId="0" applyFont="1" applyFill="1" applyBorder="1"/>
    <xf numFmtId="1" fontId="10" fillId="33" borderId="8" xfId="0" applyNumberFormat="1" applyFont="1" applyFill="1" applyBorder="1"/>
    <xf numFmtId="0" fontId="10" fillId="34" borderId="8" xfId="0" applyFont="1" applyFill="1" applyBorder="1"/>
    <xf numFmtId="1" fontId="33" fillId="35" borderId="8" xfId="0" applyNumberFormat="1" applyFont="1" applyFill="1" applyBorder="1"/>
    <xf numFmtId="0" fontId="10" fillId="44" borderId="8" xfId="0" applyFont="1" applyFill="1" applyBorder="1"/>
    <xf numFmtId="0" fontId="10" fillId="39" borderId="8" xfId="0" applyFont="1" applyFill="1" applyBorder="1"/>
    <xf numFmtId="0" fontId="10" fillId="17" borderId="8" xfId="0" applyFont="1" applyFill="1" applyBorder="1"/>
    <xf numFmtId="0" fontId="10" fillId="42" borderId="8" xfId="0" applyFont="1" applyFill="1" applyBorder="1"/>
    <xf numFmtId="0" fontId="7" fillId="40" borderId="8" xfId="0" applyFont="1" applyFill="1" applyBorder="1"/>
    <xf numFmtId="0" fontId="10" fillId="0" borderId="8" xfId="0" applyFont="1" applyBorder="1"/>
    <xf numFmtId="0" fontId="10" fillId="38" borderId="8" xfId="0" applyFont="1" applyFill="1" applyBorder="1"/>
    <xf numFmtId="0" fontId="10" fillId="41" borderId="8" xfId="0" applyFont="1" applyFill="1" applyBorder="1"/>
    <xf numFmtId="0" fontId="10" fillId="22" borderId="8" xfId="0" applyFont="1" applyFill="1" applyBorder="1"/>
    <xf numFmtId="0" fontId="10" fillId="30" borderId="8" xfId="0" applyFont="1" applyFill="1" applyBorder="1"/>
    <xf numFmtId="0" fontId="10" fillId="43" borderId="8" xfId="0" applyFont="1" applyFill="1" applyBorder="1"/>
    <xf numFmtId="0" fontId="4" fillId="0" borderId="2" xfId="0" applyFont="1" applyBorder="1" applyAlignment="1">
      <alignment horizontal="center"/>
    </xf>
    <xf numFmtId="0" fontId="4" fillId="30" borderId="2" xfId="0" applyFont="1" applyFill="1" applyBorder="1" applyAlignment="1">
      <alignment horizontal="center"/>
    </xf>
    <xf numFmtId="0" fontId="4" fillId="39" borderId="2" xfId="0" applyFont="1" applyFill="1" applyBorder="1" applyAlignment="1">
      <alignment horizontal="center"/>
    </xf>
    <xf numFmtId="0" fontId="4" fillId="46" borderId="2" xfId="0" applyFont="1" applyFill="1" applyBorder="1" applyAlignment="1">
      <alignment horizontal="center"/>
    </xf>
    <xf numFmtId="0" fontId="4" fillId="52" borderId="2" xfId="0" applyFont="1" applyFill="1" applyBorder="1" applyAlignment="1">
      <alignment horizontal="center"/>
    </xf>
    <xf numFmtId="0" fontId="4" fillId="47" borderId="2" xfId="0" applyFont="1" applyFill="1" applyBorder="1" applyAlignment="1">
      <alignment horizontal="center"/>
    </xf>
    <xf numFmtId="0" fontId="4" fillId="48" borderId="2" xfId="0" applyFont="1" applyFill="1" applyBorder="1" applyAlignment="1">
      <alignment horizontal="center"/>
    </xf>
    <xf numFmtId="0" fontId="4" fillId="51" borderId="2" xfId="0" applyFont="1" applyFill="1" applyBorder="1" applyAlignment="1">
      <alignment horizontal="center"/>
    </xf>
    <xf numFmtId="0" fontId="4" fillId="49" borderId="2" xfId="0" applyFont="1" applyFill="1" applyBorder="1" applyAlignment="1">
      <alignment horizontal="center"/>
    </xf>
    <xf numFmtId="0" fontId="4" fillId="50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</cellXfs>
  <cellStyles count="1">
    <cellStyle name="Normal" xfId="0" builtinId="0"/>
  </cellStyles>
  <dxfs count="95"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C7F43"/>
          <bgColor rgb="FF0C7F43"/>
        </patternFill>
      </fill>
    </dxf>
    <dxf>
      <font>
        <color rgb="FFFFFFFF"/>
      </font>
      <fill>
        <patternFill patternType="solid">
          <fgColor rgb="FF212121"/>
          <bgColor rgb="FF212121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83DCE3"/>
          <bgColor rgb="FF83DCE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C7F43"/>
          <bgColor rgb="FF0C7F43"/>
        </patternFill>
      </fill>
    </dxf>
    <dxf>
      <font>
        <color rgb="FFFFFFFF"/>
      </font>
      <fill>
        <patternFill patternType="solid">
          <fgColor rgb="FF212121"/>
          <bgColor rgb="FF212121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83DCE3"/>
          <bgColor rgb="FF83DCE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4A86E8"/>
          <bgColor rgb="FF4A86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000000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0000FF"/>
      </font>
      <fill>
        <patternFill patternType="solid">
          <fgColor rgb="FF93C47D"/>
          <bgColor rgb="FF93C47D"/>
        </patternFill>
      </fill>
    </dxf>
    <dxf>
      <font>
        <color rgb="FF0000FF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6D9EEB"/>
          <bgColor rgb="FF6D9E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foinspired.com/google-docs/spreadsheet/learn-query-function-with-examples-in-google-sheet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22"/>
  <sheetViews>
    <sheetView tabSelected="1" zoomScale="132" workbookViewId="0">
      <pane xSplit="1" ySplit="3" topLeftCell="E10" activePane="bottomRight" state="frozen"/>
      <selection pane="topRight" activeCell="B1" sqref="B1"/>
      <selection pane="bottomLeft" activeCell="A4" sqref="A4"/>
      <selection pane="bottomRight" activeCell="X33" sqref="X33"/>
    </sheetView>
  </sheetViews>
  <sheetFormatPr baseColWidth="10" defaultColWidth="14.5" defaultRowHeight="15.75" customHeight="1"/>
  <cols>
    <col min="1" max="1" width="29.5" customWidth="1"/>
    <col min="2" max="2" width="12.33203125" customWidth="1"/>
    <col min="3" max="3" width="13.1640625" customWidth="1"/>
    <col min="5" max="5" width="12" customWidth="1"/>
    <col min="6" max="33" width="4.5" customWidth="1"/>
  </cols>
  <sheetData>
    <row r="1" spans="1:33" ht="13" hidden="1">
      <c r="A1" s="1" t="s">
        <v>0</v>
      </c>
      <c r="B1" s="2"/>
      <c r="C1" s="3"/>
      <c r="D1" s="3"/>
      <c r="E1" s="2"/>
      <c r="F1" s="2"/>
      <c r="G1" s="2"/>
      <c r="H1" s="2"/>
      <c r="I1" s="2"/>
      <c r="J1" s="4"/>
      <c r="K1" s="5"/>
      <c r="L1" s="5"/>
      <c r="M1" s="4"/>
      <c r="N1" s="5"/>
      <c r="O1" s="5"/>
      <c r="P1" s="4"/>
      <c r="Q1" s="2"/>
      <c r="R1" s="5"/>
      <c r="S1" s="5"/>
      <c r="T1" s="4"/>
      <c r="U1" s="5"/>
      <c r="V1" s="5"/>
      <c r="W1" s="4"/>
      <c r="X1" s="4"/>
      <c r="Y1" s="5"/>
      <c r="Z1" s="5"/>
      <c r="AA1" s="4"/>
      <c r="AB1" s="5"/>
      <c r="AC1" s="5"/>
      <c r="AD1" s="2"/>
      <c r="AE1" s="4"/>
      <c r="AF1" s="5"/>
      <c r="AG1" s="6"/>
    </row>
    <row r="2" spans="1:33" ht="14">
      <c r="A2" s="7" t="s">
        <v>1</v>
      </c>
      <c r="B2" s="8"/>
      <c r="C2" s="9"/>
      <c r="D2" s="9"/>
      <c r="E2" s="8"/>
      <c r="F2" s="10" t="s">
        <v>2</v>
      </c>
      <c r="G2" s="10" t="s">
        <v>3</v>
      </c>
      <c r="H2" s="11" t="s">
        <v>4</v>
      </c>
      <c r="I2" s="10" t="s">
        <v>5</v>
      </c>
      <c r="J2" s="10" t="s">
        <v>6</v>
      </c>
      <c r="K2" s="12" t="s">
        <v>7</v>
      </c>
      <c r="L2" s="12" t="s">
        <v>8</v>
      </c>
      <c r="M2" s="10" t="s">
        <v>2</v>
      </c>
      <c r="N2" s="10" t="s">
        <v>3</v>
      </c>
      <c r="O2" s="11" t="s">
        <v>4</v>
      </c>
      <c r="P2" s="13" t="s">
        <v>5</v>
      </c>
      <c r="Q2" s="10" t="s">
        <v>6</v>
      </c>
      <c r="R2" s="12" t="s">
        <v>7</v>
      </c>
      <c r="S2" s="12" t="s">
        <v>8</v>
      </c>
      <c r="T2" s="10" t="s">
        <v>2</v>
      </c>
      <c r="U2" s="10" t="s">
        <v>3</v>
      </c>
      <c r="V2" s="14" t="s">
        <v>4</v>
      </c>
      <c r="W2" s="15" t="s">
        <v>5</v>
      </c>
      <c r="X2" s="15" t="s">
        <v>6</v>
      </c>
      <c r="Y2" s="12" t="s">
        <v>7</v>
      </c>
      <c r="Z2" s="12" t="s">
        <v>8</v>
      </c>
      <c r="AA2" s="15" t="s">
        <v>2</v>
      </c>
      <c r="AB2" s="15" t="s">
        <v>3</v>
      </c>
      <c r="AC2" s="14" t="s">
        <v>4</v>
      </c>
      <c r="AD2" s="15" t="s">
        <v>5</v>
      </c>
      <c r="AE2" s="15" t="s">
        <v>6</v>
      </c>
      <c r="AF2" s="12" t="s">
        <v>7</v>
      </c>
      <c r="AG2" s="12" t="s">
        <v>8</v>
      </c>
    </row>
    <row r="3" spans="1:33" ht="13">
      <c r="A3" s="16" t="s">
        <v>9</v>
      </c>
      <c r="B3" s="8"/>
      <c r="C3" s="9"/>
      <c r="D3" s="9"/>
      <c r="E3" s="8"/>
      <c r="F3" s="13">
        <v>9</v>
      </c>
      <c r="G3" s="13">
        <v>10</v>
      </c>
      <c r="H3" s="11">
        <v>11</v>
      </c>
      <c r="I3" s="13">
        <v>12</v>
      </c>
      <c r="J3" s="13">
        <v>13</v>
      </c>
      <c r="K3" s="12">
        <v>14</v>
      </c>
      <c r="L3" s="12">
        <v>15</v>
      </c>
      <c r="M3" s="13">
        <v>16</v>
      </c>
      <c r="N3" s="13">
        <v>17</v>
      </c>
      <c r="O3" s="11">
        <v>18</v>
      </c>
      <c r="P3" s="13">
        <v>19</v>
      </c>
      <c r="Q3" s="13">
        <v>20</v>
      </c>
      <c r="R3" s="12">
        <v>21</v>
      </c>
      <c r="S3" s="12">
        <v>22</v>
      </c>
      <c r="T3" s="13">
        <v>23</v>
      </c>
      <c r="U3" s="13">
        <v>24</v>
      </c>
      <c r="V3" s="11">
        <v>25</v>
      </c>
      <c r="W3" s="13">
        <v>26</v>
      </c>
      <c r="X3" s="13">
        <v>27</v>
      </c>
      <c r="Y3" s="12">
        <v>28</v>
      </c>
      <c r="Z3" s="12">
        <v>1</v>
      </c>
      <c r="AA3" s="13">
        <v>2</v>
      </c>
      <c r="AB3" s="13">
        <v>3</v>
      </c>
      <c r="AC3" s="11">
        <v>4</v>
      </c>
      <c r="AD3" s="13">
        <v>5</v>
      </c>
      <c r="AE3" s="13">
        <v>6</v>
      </c>
      <c r="AF3" s="12">
        <v>7</v>
      </c>
      <c r="AG3" s="12">
        <v>8</v>
      </c>
    </row>
    <row r="4" spans="1:33" ht="13">
      <c r="A4" s="17" t="s">
        <v>10</v>
      </c>
      <c r="B4" s="18" t="s">
        <v>11</v>
      </c>
      <c r="C4" s="18" t="s">
        <v>12</v>
      </c>
      <c r="D4" s="19" t="s">
        <v>13</v>
      </c>
      <c r="E4" s="20" t="s">
        <v>14</v>
      </c>
      <c r="F4" s="21">
        <f t="shared" ref="F4:AA4" si="0">COUNTIF(F52:F68, "X")</f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21">
        <f t="shared" si="0"/>
        <v>0</v>
      </c>
      <c r="L4" s="21">
        <f t="shared" si="0"/>
        <v>0</v>
      </c>
      <c r="M4" s="21">
        <f t="shared" si="0"/>
        <v>0</v>
      </c>
      <c r="N4" s="21">
        <f t="shared" si="0"/>
        <v>0</v>
      </c>
      <c r="O4" s="21">
        <f t="shared" si="0"/>
        <v>0</v>
      </c>
      <c r="P4" s="21">
        <f t="shared" si="0"/>
        <v>0</v>
      </c>
      <c r="Q4" s="21">
        <f t="shared" si="0"/>
        <v>0</v>
      </c>
      <c r="R4" s="21">
        <f t="shared" si="0"/>
        <v>0</v>
      </c>
      <c r="S4" s="21">
        <f t="shared" si="0"/>
        <v>0</v>
      </c>
      <c r="T4" s="21">
        <f t="shared" si="0"/>
        <v>0</v>
      </c>
      <c r="U4" s="21">
        <f t="shared" si="0"/>
        <v>0</v>
      </c>
      <c r="V4" s="21">
        <f t="shared" si="0"/>
        <v>0</v>
      </c>
      <c r="W4" s="21">
        <f t="shared" si="0"/>
        <v>0</v>
      </c>
      <c r="X4" s="21">
        <f t="shared" si="0"/>
        <v>0</v>
      </c>
      <c r="Y4" s="21">
        <f t="shared" si="0"/>
        <v>0</v>
      </c>
      <c r="Z4" s="21">
        <f t="shared" si="0"/>
        <v>0</v>
      </c>
      <c r="AA4" s="21">
        <f t="shared" si="0"/>
        <v>0</v>
      </c>
      <c r="AB4" s="21">
        <f>COUNTIF(AB52:AB67, "X")</f>
        <v>0</v>
      </c>
      <c r="AC4" s="21">
        <f t="shared" ref="AC4:AG4" si="1">COUNTIF(AC52:AC68, "X")</f>
        <v>0</v>
      </c>
      <c r="AD4" s="21">
        <f t="shared" si="1"/>
        <v>0</v>
      </c>
      <c r="AE4" s="21">
        <f t="shared" si="1"/>
        <v>0</v>
      </c>
      <c r="AF4" s="21">
        <f t="shared" si="1"/>
        <v>0</v>
      </c>
      <c r="AG4" s="21">
        <f t="shared" si="1"/>
        <v>0</v>
      </c>
    </row>
    <row r="5" spans="1:33" ht="14">
      <c r="A5" s="22" t="s">
        <v>15</v>
      </c>
      <c r="B5" s="23" t="s">
        <v>16</v>
      </c>
      <c r="C5" s="8"/>
      <c r="D5" s="24"/>
      <c r="E5" s="8"/>
      <c r="F5" s="25" t="s">
        <v>17</v>
      </c>
      <c r="G5" s="25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4">
      <c r="A6" s="22" t="s">
        <v>18</v>
      </c>
      <c r="B6" s="23" t="s">
        <v>19</v>
      </c>
      <c r="C6" s="8"/>
      <c r="D6" s="24"/>
      <c r="E6" s="8"/>
      <c r="F6" s="25"/>
      <c r="G6" s="25" t="s">
        <v>20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13">
      <c r="A7" s="27" t="s">
        <v>21</v>
      </c>
      <c r="B7" s="23" t="s">
        <v>22</v>
      </c>
      <c r="C7" s="8"/>
      <c r="D7" s="24"/>
      <c r="E7" s="8"/>
      <c r="F7" s="25" t="s">
        <v>20</v>
      </c>
      <c r="G7" s="25" t="s">
        <v>23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ht="13">
      <c r="A8" s="27" t="s">
        <v>24</v>
      </c>
      <c r="B8" s="23"/>
      <c r="C8" s="28"/>
      <c r="D8" s="24"/>
      <c r="E8" s="8"/>
      <c r="F8" s="25" t="s">
        <v>25</v>
      </c>
      <c r="G8" s="25" t="s">
        <v>25</v>
      </c>
      <c r="H8" s="29"/>
      <c r="I8" s="25"/>
      <c r="J8" s="25" t="s">
        <v>26</v>
      </c>
      <c r="K8" s="30" t="s">
        <v>27</v>
      </c>
      <c r="L8" s="30" t="s">
        <v>27</v>
      </c>
      <c r="M8" s="25" t="s">
        <v>26</v>
      </c>
      <c r="N8" s="25" t="s">
        <v>28</v>
      </c>
      <c r="O8" s="29" t="s">
        <v>23</v>
      </c>
      <c r="P8" s="25"/>
      <c r="Q8" s="25" t="s">
        <v>29</v>
      </c>
      <c r="R8" s="30" t="s">
        <v>30</v>
      </c>
      <c r="S8" s="30" t="s">
        <v>30</v>
      </c>
      <c r="T8" s="25" t="s">
        <v>17</v>
      </c>
      <c r="U8" s="25" t="s">
        <v>25</v>
      </c>
      <c r="V8" s="29" t="s">
        <v>25</v>
      </c>
      <c r="W8" s="25" t="s">
        <v>25</v>
      </c>
      <c r="X8" s="25"/>
      <c r="Y8" s="30"/>
      <c r="Z8" s="30" t="s">
        <v>28</v>
      </c>
      <c r="AA8" s="25" t="s">
        <v>28</v>
      </c>
      <c r="AB8" s="25" t="s">
        <v>20</v>
      </c>
      <c r="AC8" s="29"/>
      <c r="AD8" s="25"/>
      <c r="AE8" s="25"/>
      <c r="AF8" s="30"/>
      <c r="AG8" s="30"/>
    </row>
    <row r="9" spans="1:33" ht="13">
      <c r="A9" s="27" t="s">
        <v>31</v>
      </c>
      <c r="B9" s="23" t="s">
        <v>32</v>
      </c>
      <c r="C9" s="28"/>
      <c r="D9" s="24"/>
      <c r="E9" s="8"/>
      <c r="F9" s="26"/>
      <c r="G9" s="26"/>
      <c r="H9" s="29" t="s">
        <v>25</v>
      </c>
      <c r="I9" s="25" t="s">
        <v>25</v>
      </c>
      <c r="J9" s="25" t="s">
        <v>25</v>
      </c>
      <c r="K9" s="30" t="s">
        <v>30</v>
      </c>
      <c r="L9" s="30" t="s">
        <v>30</v>
      </c>
      <c r="M9" s="25"/>
      <c r="N9" s="25"/>
      <c r="O9" s="29"/>
      <c r="P9" s="25" t="s">
        <v>20</v>
      </c>
      <c r="Q9" s="25" t="s">
        <v>20</v>
      </c>
      <c r="R9" s="30" t="s">
        <v>27</v>
      </c>
      <c r="S9" s="30" t="s">
        <v>26</v>
      </c>
      <c r="T9" s="25"/>
      <c r="U9" s="25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 ht="13">
      <c r="A10" s="27" t="s">
        <v>33</v>
      </c>
      <c r="B10" s="23" t="s">
        <v>34</v>
      </c>
      <c r="C10" s="28"/>
      <c r="D10" s="24"/>
      <c r="E10" s="8"/>
      <c r="F10" s="26"/>
      <c r="G10" s="26"/>
      <c r="H10" s="29"/>
      <c r="I10" s="25" t="s">
        <v>29</v>
      </c>
      <c r="J10" s="25" t="s">
        <v>17</v>
      </c>
      <c r="K10" s="30" t="s">
        <v>30</v>
      </c>
      <c r="L10" s="30" t="s">
        <v>30</v>
      </c>
      <c r="M10" s="25" t="s">
        <v>17</v>
      </c>
      <c r="N10" s="25" t="s">
        <v>17</v>
      </c>
      <c r="O10" s="29"/>
      <c r="P10" s="25" t="s">
        <v>23</v>
      </c>
      <c r="Q10" s="25"/>
      <c r="R10" s="30"/>
      <c r="S10" s="30" t="s">
        <v>27</v>
      </c>
      <c r="T10" s="25" t="s">
        <v>29</v>
      </c>
      <c r="U10" s="25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 ht="13">
      <c r="A11" s="27" t="s">
        <v>35</v>
      </c>
      <c r="B11" s="23" t="s">
        <v>36</v>
      </c>
      <c r="C11" s="28"/>
      <c r="D11" s="24"/>
      <c r="E11" s="8"/>
      <c r="F11" s="26"/>
      <c r="G11" s="26"/>
      <c r="H11" s="29"/>
      <c r="I11" s="25" t="s">
        <v>20</v>
      </c>
      <c r="J11" s="25" t="s">
        <v>29</v>
      </c>
      <c r="K11" s="30" t="s">
        <v>26</v>
      </c>
      <c r="L11" s="30"/>
      <c r="M11" s="25" t="s">
        <v>25</v>
      </c>
      <c r="N11" s="25" t="s">
        <v>25</v>
      </c>
      <c r="O11" s="29" t="s">
        <v>25</v>
      </c>
      <c r="P11" s="25" t="s">
        <v>25</v>
      </c>
      <c r="Q11" s="25" t="s">
        <v>25</v>
      </c>
      <c r="R11" s="30"/>
      <c r="S11" s="30"/>
      <c r="T11" s="25" t="s">
        <v>37</v>
      </c>
      <c r="U11" s="25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13">
      <c r="A12" s="27" t="s">
        <v>38</v>
      </c>
      <c r="B12" s="23" t="s">
        <v>39</v>
      </c>
      <c r="C12" s="28"/>
      <c r="D12" s="24"/>
      <c r="E12" s="8"/>
      <c r="F12" s="26"/>
      <c r="G12" s="26"/>
      <c r="H12" s="29" t="s">
        <v>29</v>
      </c>
      <c r="I12" s="25"/>
      <c r="J12" s="25" t="s">
        <v>20</v>
      </c>
      <c r="K12" s="30"/>
      <c r="L12" s="30"/>
      <c r="M12" s="25" t="s">
        <v>20</v>
      </c>
      <c r="N12" s="25" t="s">
        <v>20</v>
      </c>
      <c r="O12" s="29" t="s">
        <v>17</v>
      </c>
      <c r="P12" s="25" t="s">
        <v>17</v>
      </c>
      <c r="Q12" s="25" t="s">
        <v>17</v>
      </c>
      <c r="R12" s="30" t="s">
        <v>30</v>
      </c>
      <c r="S12" s="30" t="s">
        <v>30</v>
      </c>
      <c r="T12" s="25"/>
      <c r="U12" s="25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ht="13">
      <c r="A13" s="27" t="s">
        <v>40</v>
      </c>
      <c r="B13" s="23" t="s">
        <v>41</v>
      </c>
      <c r="C13" s="28"/>
      <c r="D13" s="24"/>
      <c r="E13" s="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9" t="s">
        <v>23</v>
      </c>
      <c r="W13" s="25" t="s">
        <v>29</v>
      </c>
      <c r="X13" s="25" t="s">
        <v>26</v>
      </c>
      <c r="Y13" s="30" t="s">
        <v>27</v>
      </c>
      <c r="Z13" s="30"/>
      <c r="AA13" s="25" t="s">
        <v>25</v>
      </c>
      <c r="AB13" s="25" t="s">
        <v>25</v>
      </c>
      <c r="AC13" s="29" t="s">
        <v>17</v>
      </c>
      <c r="AD13" s="25" t="s">
        <v>17</v>
      </c>
      <c r="AE13" s="25"/>
      <c r="AF13" s="30" t="s">
        <v>27</v>
      </c>
      <c r="AG13" s="30"/>
    </row>
    <row r="14" spans="1:33" ht="13">
      <c r="A14" s="27" t="s">
        <v>42</v>
      </c>
      <c r="B14" s="23" t="s">
        <v>43</v>
      </c>
      <c r="C14" s="8"/>
      <c r="D14" s="24"/>
      <c r="E14" s="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9"/>
      <c r="W14" s="25" t="s">
        <v>28</v>
      </c>
      <c r="X14" s="25" t="s">
        <v>25</v>
      </c>
      <c r="Y14" s="30" t="s">
        <v>30</v>
      </c>
      <c r="Z14" s="30" t="s">
        <v>30</v>
      </c>
      <c r="AA14" s="25" t="s">
        <v>17</v>
      </c>
      <c r="AB14" s="25"/>
      <c r="AC14" s="29" t="s">
        <v>23</v>
      </c>
      <c r="AD14" s="25" t="s">
        <v>29</v>
      </c>
      <c r="AE14" s="25" t="s">
        <v>23</v>
      </c>
      <c r="AF14" s="30"/>
      <c r="AG14" s="30" t="s">
        <v>27</v>
      </c>
    </row>
    <row r="15" spans="1:33" ht="13">
      <c r="A15" s="27" t="s">
        <v>44</v>
      </c>
      <c r="B15" s="23" t="s">
        <v>45</v>
      </c>
      <c r="C15" s="8"/>
      <c r="D15" s="24"/>
      <c r="E15" s="8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9"/>
      <c r="W15" s="25" t="s">
        <v>23</v>
      </c>
      <c r="X15" s="25" t="s">
        <v>29</v>
      </c>
      <c r="Y15" s="30" t="s">
        <v>28</v>
      </c>
      <c r="Z15" s="30"/>
      <c r="AA15" s="25"/>
      <c r="AB15" s="25" t="s">
        <v>23</v>
      </c>
      <c r="AC15" s="29" t="s">
        <v>25</v>
      </c>
      <c r="AD15" s="25" t="s">
        <v>25</v>
      </c>
      <c r="AE15" s="25" t="s">
        <v>25</v>
      </c>
      <c r="AF15" s="30" t="s">
        <v>30</v>
      </c>
      <c r="AG15" s="30" t="s">
        <v>30</v>
      </c>
    </row>
    <row r="16" spans="1:33" ht="13">
      <c r="A16" s="27" t="s">
        <v>46</v>
      </c>
      <c r="B16" s="23" t="s">
        <v>47</v>
      </c>
      <c r="C16" s="8"/>
      <c r="D16" s="24"/>
      <c r="E16" s="8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9" t="s">
        <v>29</v>
      </c>
      <c r="W16" s="25" t="s">
        <v>20</v>
      </c>
      <c r="X16" s="25" t="s">
        <v>20</v>
      </c>
      <c r="Y16" s="30" t="s">
        <v>26</v>
      </c>
      <c r="Z16" s="30" t="s">
        <v>27</v>
      </c>
      <c r="AA16" s="25" t="s">
        <v>20</v>
      </c>
      <c r="AB16" s="25"/>
      <c r="AC16" s="29"/>
      <c r="AD16" s="25"/>
      <c r="AE16" s="25" t="s">
        <v>17</v>
      </c>
      <c r="AF16" s="30" t="s">
        <v>30</v>
      </c>
      <c r="AG16" s="30" t="s">
        <v>30</v>
      </c>
    </row>
    <row r="17" spans="1:33" ht="13">
      <c r="A17" s="27" t="s">
        <v>48</v>
      </c>
      <c r="B17" s="23" t="s">
        <v>49</v>
      </c>
      <c r="C17" s="8"/>
      <c r="D17" s="24"/>
      <c r="E17" s="8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5" t="s">
        <v>20</v>
      </c>
      <c r="U17" s="25" t="s">
        <v>17</v>
      </c>
      <c r="V17" s="29" t="s">
        <v>17</v>
      </c>
      <c r="W17" s="25" t="s">
        <v>17</v>
      </c>
      <c r="X17" s="25" t="s">
        <v>17</v>
      </c>
      <c r="Y17" s="30" t="s">
        <v>30</v>
      </c>
      <c r="Z17" s="30" t="s">
        <v>30</v>
      </c>
      <c r="AA17" s="25"/>
      <c r="AB17" s="25"/>
      <c r="AC17" s="29"/>
      <c r="AD17" s="25" t="s">
        <v>20</v>
      </c>
      <c r="AE17" s="25" t="s">
        <v>20</v>
      </c>
      <c r="AF17" s="30"/>
      <c r="AG17" s="30"/>
    </row>
    <row r="18" spans="1:33" ht="13">
      <c r="A18" s="31" t="s">
        <v>50</v>
      </c>
      <c r="B18" s="32" t="s">
        <v>11</v>
      </c>
      <c r="C18" s="33" t="s">
        <v>12</v>
      </c>
      <c r="D18" s="32" t="s">
        <v>13</v>
      </c>
      <c r="E18" s="34" t="s">
        <v>14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13">
      <c r="A19" s="35" t="s">
        <v>51</v>
      </c>
      <c r="B19" s="36" t="s">
        <v>52</v>
      </c>
      <c r="C19" s="9" t="str">
        <f>VLOOKUP(A19, 'PGY1'!$A$3:$AA$20, 17, FALSE)</f>
        <v>AnUS</v>
      </c>
      <c r="D19" s="37" t="str">
        <f>CONCATENATE(VLOOKUP(A19,'PGY1'!$A$3:$AA$20, 18, FALSE), " / ", VLOOKUP(A19,'PGY1'!$A$3:$AA$20, 19, FALSE))</f>
        <v>BH / J</v>
      </c>
      <c r="E19" s="9" t="str">
        <f>VLOOKUP(A19, 'PGY1'!$A$3:$AA$20, 20, FALSE)</f>
        <v>BK</v>
      </c>
      <c r="F19" s="38" t="s">
        <v>53</v>
      </c>
      <c r="G19" s="38" t="s">
        <v>53</v>
      </c>
      <c r="H19" s="39"/>
      <c r="I19" s="38" t="s">
        <v>54</v>
      </c>
      <c r="J19" s="38" t="s">
        <v>54</v>
      </c>
      <c r="K19" s="30"/>
      <c r="L19" s="30"/>
      <c r="M19" s="38"/>
      <c r="N19" s="38" t="s">
        <v>53</v>
      </c>
      <c r="O19" s="29"/>
      <c r="P19" s="38" t="s">
        <v>53</v>
      </c>
      <c r="Q19" s="38" t="s">
        <v>55</v>
      </c>
      <c r="R19" s="30" t="s">
        <v>55</v>
      </c>
      <c r="S19" s="30" t="s">
        <v>55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</row>
    <row r="20" spans="1:33" ht="13">
      <c r="A20" s="35" t="s">
        <v>56</v>
      </c>
      <c r="B20" s="36" t="s">
        <v>57</v>
      </c>
      <c r="C20" s="9" t="str">
        <f>VLOOKUP(A20, 'PGY1'!$A$3:$AA$20, 17, FALSE)</f>
        <v>BH</v>
      </c>
      <c r="D20" s="37" t="str">
        <f>CONCATENATE(VLOOKUP(A20,'PGY1'!$A$3:$AA$20, 18, FALSE), " / ", VLOOKUP(A20,'PGY1'!$A$3:$AA$20, 19, FALSE))</f>
        <v>BH / NICU</v>
      </c>
      <c r="E20" s="9" t="str">
        <f>VLOOKUP(A20, 'PGY1'!$A$3:$AA$20, 20, FALSE)</f>
        <v>AnUS</v>
      </c>
      <c r="F20" s="38" t="s">
        <v>26</v>
      </c>
      <c r="G20" s="38" t="s">
        <v>17</v>
      </c>
      <c r="H20" s="39" t="s">
        <v>17</v>
      </c>
      <c r="I20" s="38" t="s">
        <v>17</v>
      </c>
      <c r="J20" s="38"/>
      <c r="K20" s="30" t="s">
        <v>54</v>
      </c>
      <c r="L20" s="30" t="s">
        <v>54</v>
      </c>
      <c r="M20" s="38" t="s">
        <v>53</v>
      </c>
      <c r="N20" s="38" t="s">
        <v>23</v>
      </c>
      <c r="O20" s="29" t="s">
        <v>29</v>
      </c>
      <c r="P20" s="38"/>
      <c r="Q20" s="38"/>
      <c r="R20" s="30"/>
      <c r="S20" s="3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</row>
    <row r="21" spans="1:33" ht="13">
      <c r="A21" s="35" t="s">
        <v>58</v>
      </c>
      <c r="B21" s="36" t="s">
        <v>59</v>
      </c>
      <c r="C21" s="9" t="str">
        <f>VLOOKUP(A21, 'PGY1'!$A$3:$AA$20, 17, FALSE)</f>
        <v>J</v>
      </c>
      <c r="D21" s="37" t="str">
        <f>CONCATENATE(VLOOKUP(A21,'PGY1'!$A$3:$AA$20, 18, FALSE), " / ", VLOOKUP(A21,'PGY1'!$A$3:$AA$20, 19, FALSE))</f>
        <v>TH / TH</v>
      </c>
      <c r="E21" s="9" t="str">
        <f>VLOOKUP(A21, 'PGY1'!$A$3:$AA$20, 20, FALSE)</f>
        <v>SICU</v>
      </c>
      <c r="F21" s="38" t="s">
        <v>55</v>
      </c>
      <c r="G21" s="38" t="s">
        <v>55</v>
      </c>
      <c r="H21" s="39" t="s">
        <v>55</v>
      </c>
      <c r="I21" s="38" t="s">
        <v>55</v>
      </c>
      <c r="J21" s="38"/>
      <c r="K21" s="30" t="s">
        <v>60</v>
      </c>
      <c r="L21" s="30" t="s">
        <v>60</v>
      </c>
      <c r="M21" s="38" t="s">
        <v>54</v>
      </c>
      <c r="N21" s="38" t="s">
        <v>54</v>
      </c>
      <c r="O21" s="29"/>
      <c r="P21" s="38" t="s">
        <v>54</v>
      </c>
      <c r="Q21" s="38" t="s">
        <v>54</v>
      </c>
      <c r="R21" s="30"/>
      <c r="S21" s="30"/>
      <c r="T21" s="38"/>
      <c r="U21" s="38" t="s">
        <v>53</v>
      </c>
      <c r="V21" s="29"/>
      <c r="W21" s="38" t="s">
        <v>54</v>
      </c>
      <c r="X21" s="38"/>
      <c r="Y21" s="30" t="s">
        <v>60</v>
      </c>
      <c r="Z21" s="30" t="s">
        <v>60</v>
      </c>
      <c r="AA21" s="38"/>
      <c r="AB21" s="38" t="s">
        <v>17</v>
      </c>
      <c r="AC21" s="29" t="s">
        <v>55</v>
      </c>
      <c r="AD21" s="38" t="s">
        <v>55</v>
      </c>
      <c r="AE21" s="38" t="s">
        <v>55</v>
      </c>
      <c r="AF21" s="30"/>
      <c r="AG21" s="30"/>
    </row>
    <row r="22" spans="1:33" ht="13">
      <c r="A22" s="35" t="s">
        <v>61</v>
      </c>
      <c r="B22" s="36" t="s">
        <v>62</v>
      </c>
      <c r="C22" s="9" t="str">
        <f>VLOOKUP(A22, 'PGY1'!$A$3:$AA$20, 17, FALSE)</f>
        <v>M</v>
      </c>
      <c r="D22" s="37" t="str">
        <f>CONCATENATE(VLOOKUP(A22,'PGY1'!$A$3:$AA$20, 18, FALSE), " / ", VLOOKUP(A22,'PGY1'!$A$3:$AA$20, 19, FALSE))</f>
        <v>TH / BH</v>
      </c>
      <c r="E22" s="9" t="str">
        <f>VLOOKUP(A22, 'PGY1'!$A$3:$AA$20, 20, FALSE)</f>
        <v>V</v>
      </c>
      <c r="F22" s="38" t="s">
        <v>54</v>
      </c>
      <c r="G22" s="38" t="s">
        <v>54</v>
      </c>
      <c r="H22" s="39"/>
      <c r="I22" s="38" t="s">
        <v>53</v>
      </c>
      <c r="J22" s="38" t="s">
        <v>55</v>
      </c>
      <c r="K22" s="30" t="s">
        <v>55</v>
      </c>
      <c r="L22" s="30" t="s">
        <v>55</v>
      </c>
      <c r="M22" s="38"/>
      <c r="N22" s="38"/>
      <c r="O22" s="29" t="s">
        <v>63</v>
      </c>
      <c r="P22" s="38" t="s">
        <v>26</v>
      </c>
      <c r="Q22" s="38" t="s">
        <v>28</v>
      </c>
      <c r="R22" s="30" t="s">
        <v>26</v>
      </c>
      <c r="S22" s="30" t="s">
        <v>28</v>
      </c>
      <c r="T22" s="38" t="s">
        <v>64</v>
      </c>
      <c r="U22" s="38" t="s">
        <v>65</v>
      </c>
      <c r="V22" s="29" t="s">
        <v>64</v>
      </c>
      <c r="W22" s="38" t="s">
        <v>65</v>
      </c>
      <c r="X22" s="38"/>
      <c r="Y22" s="30"/>
      <c r="Z22" s="30"/>
      <c r="AA22" s="38" t="s">
        <v>53</v>
      </c>
      <c r="AB22" s="38" t="s">
        <v>26</v>
      </c>
      <c r="AC22" s="29"/>
      <c r="AD22" s="38" t="s">
        <v>26</v>
      </c>
      <c r="AE22" s="38"/>
      <c r="AF22" s="30"/>
      <c r="AG22" s="30"/>
    </row>
    <row r="23" spans="1:33" ht="13">
      <c r="A23" s="35" t="s">
        <v>66</v>
      </c>
      <c r="B23" s="36" t="s">
        <v>67</v>
      </c>
      <c r="C23" s="9" t="str">
        <f>VLOOKUP(A23, 'PGY1'!$A$3:$AA$20, 17, FALSE)</f>
        <v>TH</v>
      </c>
      <c r="D23" s="37" t="str">
        <f>CONCATENATE(VLOOKUP(A23,'PGY1'!$A$3:$AA$20, 18, FALSE), " / ", VLOOKUP(A23,'PGY1'!$A$3:$AA$20, 19, FALSE))</f>
        <v>PSY / BH</v>
      </c>
      <c r="E23" s="9" t="str">
        <f>VLOOKUP(A23, 'PGY1'!$A$3:$AA$20, 20, FALSE)</f>
        <v>TH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38"/>
      <c r="U23" s="38" t="s">
        <v>20</v>
      </c>
      <c r="X23" s="38" t="s">
        <v>23</v>
      </c>
      <c r="Y23" s="30"/>
      <c r="Z23" s="30"/>
      <c r="AA23" s="38" t="s">
        <v>23</v>
      </c>
      <c r="AB23" s="38"/>
      <c r="AC23" s="29"/>
      <c r="AD23" s="38" t="s">
        <v>23</v>
      </c>
      <c r="AE23" s="38" t="s">
        <v>64</v>
      </c>
      <c r="AF23" s="30" t="s">
        <v>65</v>
      </c>
      <c r="AG23" s="30" t="s">
        <v>64</v>
      </c>
    </row>
    <row r="24" spans="1:33" ht="13">
      <c r="A24" s="28" t="s">
        <v>69</v>
      </c>
      <c r="B24" s="36" t="s">
        <v>70</v>
      </c>
      <c r="C24" s="9" t="str">
        <f>VLOOKUP(A24, 'PGY1'!$A$3:$AA$20, 17, FALSE)</f>
        <v>BH</v>
      </c>
      <c r="D24" s="37" t="str">
        <f>CONCATENATE(VLOOKUP(A24,'PGY1'!$A$3:$AA$20, 18, FALSE), " / ", VLOOKUP(A24,'PGY1'!$A$3:$AA$20, 19, FALSE))</f>
        <v>BK / TH</v>
      </c>
      <c r="E24" s="9" t="str">
        <f>VLOOKUP(A24, 'PGY1'!$A$3:$AA$20, 20, FALSE)</f>
        <v>MICU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38" t="s">
        <v>25</v>
      </c>
      <c r="U24" s="38" t="s">
        <v>55</v>
      </c>
      <c r="V24" s="29" t="s">
        <v>55</v>
      </c>
      <c r="W24" s="38" t="s">
        <v>64</v>
      </c>
      <c r="X24" s="38" t="s">
        <v>55</v>
      </c>
      <c r="Y24" s="30"/>
      <c r="Z24" s="30"/>
      <c r="AA24" s="38"/>
      <c r="AB24" s="38" t="s">
        <v>54</v>
      </c>
      <c r="AC24" s="29"/>
      <c r="AE24" s="38" t="s">
        <v>53</v>
      </c>
      <c r="AF24" s="30" t="s">
        <v>55</v>
      </c>
      <c r="AG24" s="30" t="s">
        <v>55</v>
      </c>
    </row>
    <row r="25" spans="1:33" ht="13">
      <c r="A25" s="28" t="s">
        <v>71</v>
      </c>
      <c r="B25" s="36" t="s">
        <v>72</v>
      </c>
      <c r="C25" s="9" t="str">
        <f>VLOOKUP(A25, 'PGY1'!$A$3:$AA$20, 17, FALSE)</f>
        <v>TH</v>
      </c>
      <c r="D25" s="37" t="str">
        <f>CONCATENATE(VLOOKUP(A25,'PGY1'!$A$3:$AA$20, 18, FALSE), " / ", VLOOKUP(A25,'PGY1'!$A$3:$AA$20, 19, FALSE))</f>
        <v>PedB / BH</v>
      </c>
      <c r="E25" s="9" t="str">
        <f>VLOOKUP(A25, 'PGY1'!$A$3:$AA$20, 20, FALSE)</f>
        <v>BK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38" t="s">
        <v>65</v>
      </c>
      <c r="U25" s="38" t="s">
        <v>64</v>
      </c>
      <c r="V25" s="29" t="s">
        <v>65</v>
      </c>
      <c r="W25" s="38" t="s">
        <v>55</v>
      </c>
      <c r="X25" s="25"/>
      <c r="Y25" s="30"/>
      <c r="Z25" s="30"/>
      <c r="AA25" s="38" t="s">
        <v>37</v>
      </c>
      <c r="AB25" s="38"/>
      <c r="AC25" s="29"/>
      <c r="AD25" s="38" t="s">
        <v>54</v>
      </c>
      <c r="AE25" s="38" t="s">
        <v>26</v>
      </c>
      <c r="AF25" s="30" t="s">
        <v>26</v>
      </c>
      <c r="AG25" s="30" t="s">
        <v>28</v>
      </c>
    </row>
    <row r="26" spans="1:33" ht="13">
      <c r="A26" s="35" t="s">
        <v>73</v>
      </c>
      <c r="B26" s="36" t="s">
        <v>74</v>
      </c>
      <c r="C26" s="9" t="str">
        <f>VLOOKUP(A26, 'PGY1'!$A$3:$AA$20, 17, FALSE)</f>
        <v>MICU</v>
      </c>
      <c r="D26" s="37" t="str">
        <f>CONCATENATE(VLOOKUP(A26,'PGY1'!$A$3:$AA$20, 18, FALSE), " / ", VLOOKUP(A26,'PGY1'!$A$3:$AA$20, 19, FALSE))</f>
        <v>BK / TH</v>
      </c>
      <c r="E26" s="9" t="str">
        <f>VLOOKUP(A26, 'PGY1'!$A$3:$AA$20, 20, FALSE)</f>
        <v>T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38" t="s">
        <v>54</v>
      </c>
      <c r="U26" s="38" t="s">
        <v>54</v>
      </c>
      <c r="V26" s="29" t="s">
        <v>63</v>
      </c>
      <c r="W26" s="38" t="s">
        <v>53</v>
      </c>
      <c r="X26" s="38" t="s">
        <v>53</v>
      </c>
      <c r="Y26" s="30" t="s">
        <v>55</v>
      </c>
      <c r="Z26" s="30" t="s">
        <v>55</v>
      </c>
      <c r="AA26" s="38" t="s">
        <v>55</v>
      </c>
      <c r="AB26" s="38" t="s">
        <v>55</v>
      </c>
      <c r="AC26" s="29"/>
      <c r="AD26" s="38" t="s">
        <v>53</v>
      </c>
      <c r="AF26" s="30"/>
      <c r="AG26" s="30"/>
    </row>
    <row r="27" spans="1:33" ht="13">
      <c r="A27" s="31" t="s">
        <v>75</v>
      </c>
      <c r="B27" s="32" t="s">
        <v>11</v>
      </c>
      <c r="C27" s="41" t="s">
        <v>12</v>
      </c>
      <c r="D27" s="41" t="s">
        <v>13</v>
      </c>
      <c r="E27" s="41" t="s">
        <v>14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</row>
    <row r="28" spans="1:33" ht="13">
      <c r="A28" s="43" t="s">
        <v>76</v>
      </c>
      <c r="B28" s="36" t="s">
        <v>77</v>
      </c>
      <c r="C28" s="36" t="str">
        <f>VLOOKUP(A28, 'PGY2'!$A$3:$AA$20, 17, FALSE)</f>
        <v>Ob</v>
      </c>
      <c r="D28" s="37" t="str">
        <f>CONCATENATE(VLOOKUP(A28,'PGY2'!$A$3:$AA$20, 18, FALSE), " / ", VLOOKUP(A28,'PGY2'!$A$3:$AA$20, 19, FALSE))</f>
        <v>BH/TH / PedT</v>
      </c>
      <c r="E28" s="36" t="str">
        <f>VLOOKUP(A28, 'PGY2'!$A$3:$AA$20, 20, FALSE)</f>
        <v>BH/TH</v>
      </c>
      <c r="F28" s="44" t="s">
        <v>68</v>
      </c>
      <c r="G28" s="44" t="s">
        <v>26</v>
      </c>
      <c r="H28" s="45" t="s">
        <v>63</v>
      </c>
      <c r="I28" s="44"/>
      <c r="J28" s="44" t="s">
        <v>53</v>
      </c>
      <c r="K28" s="30"/>
      <c r="L28" s="30"/>
      <c r="M28" s="44" t="s">
        <v>55</v>
      </c>
      <c r="N28" s="44" t="s">
        <v>64</v>
      </c>
      <c r="O28" s="29" t="s">
        <v>65</v>
      </c>
      <c r="P28" s="44" t="s">
        <v>64</v>
      </c>
      <c r="Q28" s="44"/>
      <c r="R28" s="30" t="s">
        <v>28</v>
      </c>
      <c r="S28" s="30" t="s">
        <v>27</v>
      </c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</row>
    <row r="29" spans="1:33" ht="13">
      <c r="A29" s="43" t="s">
        <v>78</v>
      </c>
      <c r="B29" s="36" t="s">
        <v>79</v>
      </c>
      <c r="C29" s="36" t="str">
        <f>VLOOKUP(A29, 'PGY2'!$A$3:$AA$20, 17, FALSE)</f>
        <v>Ortho</v>
      </c>
      <c r="D29" s="37" t="str">
        <f>CONCATENATE(VLOOKUP(A29,'PGY2'!$A$3:$AA$20, 18, FALSE), " / ", VLOOKUP(A29,'PGY2'!$A$3:$AA$20, 19, FALSE))</f>
        <v>BH/TH / AnUS</v>
      </c>
      <c r="E29" s="36" t="str">
        <f>VLOOKUP(A29, 'PGY2'!$A$3:$AA$20, 20, FALSE)</f>
        <v>BH/TH</v>
      </c>
      <c r="F29" s="44" t="s">
        <v>64</v>
      </c>
      <c r="G29" s="44" t="s">
        <v>65</v>
      </c>
      <c r="H29" s="45" t="s">
        <v>64</v>
      </c>
      <c r="I29" s="44" t="s">
        <v>65</v>
      </c>
      <c r="J29" s="44"/>
      <c r="K29" s="30"/>
      <c r="L29" s="30" t="s">
        <v>26</v>
      </c>
      <c r="M29" s="44" t="s">
        <v>68</v>
      </c>
      <c r="N29" s="47"/>
      <c r="O29" s="29"/>
      <c r="P29" s="44"/>
      <c r="Q29" s="44" t="s">
        <v>26</v>
      </c>
      <c r="R29" s="30" t="s">
        <v>27</v>
      </c>
      <c r="S29" s="30" t="s">
        <v>54</v>
      </c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</row>
    <row r="30" spans="1:33" ht="13">
      <c r="A30" s="43" t="s">
        <v>80</v>
      </c>
      <c r="B30" s="36" t="s">
        <v>81</v>
      </c>
      <c r="C30" s="36" t="str">
        <f>VLOOKUP(A30, 'PGY2'!$A$3:$AA$20, 17, FALSE)</f>
        <v>Ortho</v>
      </c>
      <c r="D30" s="37" t="str">
        <f>CONCATENATE(VLOOKUP(A30,'PGY2'!$A$3:$AA$20, 18, FALSE), " / ", VLOOKUP(A30,'PGY2'!$A$3:$AA$20, 19, FALSE))</f>
        <v>BH/TH / PedB</v>
      </c>
      <c r="E30" s="36" t="str">
        <f>VLOOKUP(A30, 'PGY2'!$A$3:$AA$20, 20, FALSE)</f>
        <v>Ob</v>
      </c>
      <c r="F30" s="48" t="s">
        <v>65</v>
      </c>
      <c r="G30" s="48" t="s">
        <v>64</v>
      </c>
      <c r="H30" s="48" t="s">
        <v>65</v>
      </c>
      <c r="I30" s="48" t="s">
        <v>64</v>
      </c>
      <c r="J30" s="47"/>
      <c r="K30" s="49" t="s">
        <v>27</v>
      </c>
      <c r="L30" s="49" t="s">
        <v>27</v>
      </c>
      <c r="M30" s="44" t="s">
        <v>29</v>
      </c>
      <c r="N30" s="50" t="s">
        <v>26</v>
      </c>
      <c r="O30" s="47"/>
      <c r="P30" s="47"/>
      <c r="Q30" s="50" t="s">
        <v>68</v>
      </c>
      <c r="R30" s="51"/>
      <c r="S30" s="51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spans="1:33" ht="13">
      <c r="A31" s="43" t="s">
        <v>82</v>
      </c>
      <c r="B31" s="36" t="s">
        <v>83</v>
      </c>
      <c r="C31" s="36" t="str">
        <f>VLOOKUP(A31, 'PGY2'!$A$3:$AA$20, 17, FALSE)</f>
        <v>PedB</v>
      </c>
      <c r="D31" s="37" t="str">
        <f>CONCATENATE(VLOOKUP(A31,'PGY2'!$A$3:$AA$20, 18, FALSE), " / ", VLOOKUP(A31,'PGY2'!$A$3:$AA$20, 19, FALSE))</f>
        <v>BH/TH / BH/TH</v>
      </c>
      <c r="E31" s="36" t="str">
        <f>VLOOKUP(A31, 'PGY2'!$A$3:$AA$20, 20, FALSE)</f>
        <v>BH/TH</v>
      </c>
      <c r="F31" s="52" t="s">
        <v>23</v>
      </c>
      <c r="G31" s="52" t="s">
        <v>29</v>
      </c>
      <c r="H31" s="47"/>
      <c r="I31" s="52" t="s">
        <v>23</v>
      </c>
      <c r="J31" s="48" t="s">
        <v>64</v>
      </c>
      <c r="K31" s="53" t="s">
        <v>65</v>
      </c>
      <c r="L31" s="53" t="s">
        <v>64</v>
      </c>
      <c r="M31" s="48" t="s">
        <v>65</v>
      </c>
      <c r="N31" s="47"/>
      <c r="O31" s="54" t="s">
        <v>20</v>
      </c>
      <c r="P31" s="55" t="s">
        <v>29</v>
      </c>
      <c r="Q31" s="55" t="s">
        <v>23</v>
      </c>
      <c r="R31" s="51"/>
      <c r="S31" s="51"/>
      <c r="T31" s="44" t="s">
        <v>68</v>
      </c>
      <c r="U31" s="44" t="s">
        <v>37</v>
      </c>
      <c r="V31" s="47"/>
      <c r="W31" s="47"/>
      <c r="X31" s="44" t="s">
        <v>64</v>
      </c>
      <c r="Y31" s="30" t="s">
        <v>65</v>
      </c>
      <c r="Z31" s="30" t="s">
        <v>64</v>
      </c>
      <c r="AA31" s="44"/>
      <c r="AB31" s="44" t="s">
        <v>29</v>
      </c>
      <c r="AC31" s="29" t="s">
        <v>20</v>
      </c>
      <c r="AD31" s="44" t="s">
        <v>68</v>
      </c>
      <c r="AE31" s="44"/>
      <c r="AF31" s="30"/>
      <c r="AG31" s="30"/>
    </row>
    <row r="32" spans="1:33" ht="13">
      <c r="A32" s="43" t="s">
        <v>84</v>
      </c>
      <c r="B32" s="36" t="s">
        <v>85</v>
      </c>
      <c r="C32" s="36" t="str">
        <f>VLOOKUP(A32, 'PGY2'!$A$3:$AA$20, 17, FALSE)</f>
        <v>BK</v>
      </c>
      <c r="D32" s="37" t="str">
        <f>CONCATENATE(VLOOKUP(A32,'PGY2'!$A$3:$AA$20, 18, FALSE), " / ", VLOOKUP(A32,'PGY2'!$A$3:$AA$20, 19, FALSE))</f>
        <v>BH/TH / BH/TH</v>
      </c>
      <c r="E32" s="36" t="str">
        <f>VLOOKUP(A32, 'PGY2'!$A$3:$AA$20, 20, FALSE)</f>
        <v>Ortho</v>
      </c>
      <c r="F32" s="44" t="s">
        <v>37</v>
      </c>
      <c r="G32" s="44" t="s">
        <v>68</v>
      </c>
      <c r="H32" s="45"/>
      <c r="I32" s="44" t="s">
        <v>28</v>
      </c>
      <c r="J32" s="44" t="s">
        <v>65</v>
      </c>
      <c r="K32" s="30" t="s">
        <v>64</v>
      </c>
      <c r="L32" s="30" t="s">
        <v>65</v>
      </c>
      <c r="M32" s="44" t="s">
        <v>64</v>
      </c>
      <c r="N32" s="44" t="s">
        <v>55</v>
      </c>
      <c r="O32" s="29"/>
      <c r="P32" s="44" t="s">
        <v>68</v>
      </c>
      <c r="Q32" s="44" t="s">
        <v>53</v>
      </c>
      <c r="R32" s="30"/>
      <c r="S32" s="30"/>
      <c r="T32" s="44" t="s">
        <v>26</v>
      </c>
      <c r="U32" s="44" t="s">
        <v>28</v>
      </c>
      <c r="V32" s="29" t="s">
        <v>20</v>
      </c>
      <c r="W32" s="38" t="s">
        <v>68</v>
      </c>
      <c r="X32" s="44"/>
      <c r="Y32" s="30"/>
      <c r="Z32" s="30"/>
      <c r="AA32" s="44" t="s">
        <v>29</v>
      </c>
      <c r="AB32" s="44" t="s">
        <v>53</v>
      </c>
      <c r="AC32" s="29" t="s">
        <v>64</v>
      </c>
      <c r="AD32" s="44"/>
      <c r="AE32" s="44" t="s">
        <v>68</v>
      </c>
      <c r="AF32" s="30" t="s">
        <v>27</v>
      </c>
      <c r="AG32" s="30" t="s">
        <v>27</v>
      </c>
    </row>
    <row r="33" spans="1:33" ht="13">
      <c r="A33" s="43" t="s">
        <v>86</v>
      </c>
      <c r="B33" s="36" t="s">
        <v>87</v>
      </c>
      <c r="C33" s="36" t="str">
        <f>VLOOKUP(A33, 'PGY2'!$A$3:$AA$20, 17, FALSE)</f>
        <v>BH/TH</v>
      </c>
      <c r="D33" s="37" t="str">
        <f>CONCATENATE(VLOOKUP(A33,'PGY2'!$A$3:$AA$20, 18, FALSE), " / ", VLOOKUP(A33,'PGY2'!$A$3:$AA$20, 19, FALSE))</f>
        <v>BH/TH / BH/TH</v>
      </c>
      <c r="E33" s="36" t="str">
        <f>VLOOKUP(A33, 'PGY2'!$A$3:$AA$20, 20, FALSE)</f>
        <v>EMS</v>
      </c>
      <c r="F33" s="44" t="s">
        <v>28</v>
      </c>
      <c r="G33" s="44" t="s">
        <v>37</v>
      </c>
      <c r="H33" s="45"/>
      <c r="I33" s="44" t="s">
        <v>68</v>
      </c>
      <c r="J33" s="44" t="s">
        <v>68</v>
      </c>
      <c r="K33" s="30" t="s">
        <v>28</v>
      </c>
      <c r="L33" s="30"/>
      <c r="M33" s="49" t="s">
        <v>28</v>
      </c>
      <c r="N33" s="44" t="s">
        <v>68</v>
      </c>
      <c r="O33" s="29" t="s">
        <v>55</v>
      </c>
      <c r="P33" s="44" t="s">
        <v>65</v>
      </c>
      <c r="Q33" s="44" t="s">
        <v>64</v>
      </c>
      <c r="R33" s="30" t="s">
        <v>65</v>
      </c>
      <c r="S33" s="30" t="s">
        <v>64</v>
      </c>
      <c r="T33" s="44" t="s">
        <v>55</v>
      </c>
      <c r="U33" s="44"/>
      <c r="V33" s="47"/>
      <c r="W33" s="47"/>
      <c r="X33" s="44" t="s">
        <v>28</v>
      </c>
      <c r="Y33" s="30"/>
      <c r="Z33" s="30"/>
      <c r="AA33" s="44" t="s">
        <v>68</v>
      </c>
      <c r="AB33" s="44" t="s">
        <v>28</v>
      </c>
      <c r="AC33" s="29" t="s">
        <v>29</v>
      </c>
      <c r="AD33" s="44"/>
      <c r="AE33" s="44" t="s">
        <v>54</v>
      </c>
      <c r="AF33" s="30"/>
      <c r="AG33" s="30"/>
    </row>
    <row r="34" spans="1:33" ht="13">
      <c r="A34" s="43" t="s">
        <v>88</v>
      </c>
      <c r="B34" s="36" t="s">
        <v>89</v>
      </c>
      <c r="C34" s="36" t="str">
        <f>VLOOKUP(A34, 'PGY2'!$A$3:$AA$20, 17, FALSE)</f>
        <v>J</v>
      </c>
      <c r="D34" s="37" t="str">
        <f>CONCATENATE(VLOOKUP(A34,'PGY2'!$A$3:$AA$20, 18, FALSE), " / ", VLOOKUP(A34,'PGY2'!$A$3:$AA$20, 19, FALSE))</f>
        <v>BH/TH / BH/TH</v>
      </c>
      <c r="E34" s="36" t="str">
        <f>VLOOKUP(A34, 'PGY2'!$A$3:$AA$20, 20, FALSE)</f>
        <v>V</v>
      </c>
      <c r="F34" s="44" t="s">
        <v>29</v>
      </c>
      <c r="G34" s="44" t="s">
        <v>28</v>
      </c>
      <c r="H34" s="45" t="s">
        <v>20</v>
      </c>
      <c r="I34" s="44" t="s">
        <v>26</v>
      </c>
      <c r="J34" s="44" t="s">
        <v>28</v>
      </c>
      <c r="K34" s="30"/>
      <c r="L34" s="30"/>
      <c r="M34" s="44" t="s">
        <v>23</v>
      </c>
      <c r="N34" s="44" t="s">
        <v>65</v>
      </c>
      <c r="O34" s="29" t="s">
        <v>64</v>
      </c>
      <c r="P34" s="44" t="s">
        <v>55</v>
      </c>
      <c r="Q34" s="44" t="s">
        <v>65</v>
      </c>
      <c r="R34" s="30" t="s">
        <v>64</v>
      </c>
      <c r="S34" s="30" t="s">
        <v>65</v>
      </c>
      <c r="T34" s="44"/>
      <c r="U34" s="44" t="s">
        <v>26</v>
      </c>
      <c r="V34" s="47"/>
      <c r="W34" s="47" t="s">
        <v>26</v>
      </c>
      <c r="X34" s="44"/>
      <c r="Y34" s="30" t="s">
        <v>27</v>
      </c>
      <c r="Z34" s="30" t="s">
        <v>27</v>
      </c>
      <c r="AA34" s="44" t="s">
        <v>26</v>
      </c>
      <c r="AB34" s="44" t="s">
        <v>68</v>
      </c>
      <c r="AC34" s="29"/>
      <c r="AD34" s="44"/>
      <c r="AE34" s="44" t="s">
        <v>28</v>
      </c>
      <c r="AF34" s="30"/>
      <c r="AG34" s="30"/>
    </row>
    <row r="35" spans="1:33" ht="13">
      <c r="A35" s="28" t="s">
        <v>90</v>
      </c>
      <c r="B35" s="36" t="s">
        <v>91</v>
      </c>
      <c r="C35" s="36" t="str">
        <f>VLOOKUP(A35, 'PGY2'!$A$3:$AA$20, 17, FALSE)</f>
        <v>BH/TH</v>
      </c>
      <c r="D35" s="37" t="str">
        <f>CONCATENATE(VLOOKUP(A35,'PGY2'!$A$3:$AA$20, 18, FALSE), " / ", VLOOKUP(A35,'PGY2'!$A$3:$AA$20, 19, FALSE))</f>
        <v>EMS / BH/TH</v>
      </c>
      <c r="E35" s="36" t="str">
        <f>VLOOKUP(A35, 'PGY2'!$A$3:$AA$20, 20, FALSE)</f>
        <v>BH/TH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4" t="s">
        <v>28</v>
      </c>
      <c r="U35" s="44" t="s">
        <v>68</v>
      </c>
      <c r="V35" s="47"/>
      <c r="W35" s="47"/>
      <c r="X35" s="44" t="s">
        <v>54</v>
      </c>
      <c r="Y35" s="30"/>
      <c r="Z35" s="30"/>
      <c r="AA35" s="44" t="s">
        <v>54</v>
      </c>
      <c r="AB35" s="44" t="s">
        <v>37</v>
      </c>
      <c r="AC35" s="29" t="s">
        <v>63</v>
      </c>
      <c r="AD35" s="44" t="s">
        <v>65</v>
      </c>
      <c r="AE35" s="44" t="s">
        <v>65</v>
      </c>
      <c r="AF35" s="30" t="s">
        <v>64</v>
      </c>
      <c r="AG35" s="30" t="s">
        <v>65</v>
      </c>
    </row>
    <row r="36" spans="1:33" ht="13">
      <c r="A36" s="28" t="s">
        <v>92</v>
      </c>
      <c r="B36" s="36" t="s">
        <v>93</v>
      </c>
      <c r="C36" s="36" t="str">
        <f>VLOOKUP(A36, 'PGY2'!$A$3:$AA$20, 17, FALSE)</f>
        <v>BH/TH</v>
      </c>
      <c r="D36" s="37" t="str">
        <f>CONCATENATE(VLOOKUP(A36,'PGY2'!$A$3:$AA$20, 18, FALSE), " / ", VLOOKUP(A36,'PGY2'!$A$3:$AA$20, 19, FALSE))</f>
        <v>J / BH/TH</v>
      </c>
      <c r="E36" s="36" t="str">
        <f>VLOOKUP(A36, 'PGY2'!$A$3:$AA$20, 20, FALSE)</f>
        <v>CCU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4" t="s">
        <v>23</v>
      </c>
      <c r="U36" s="44" t="s">
        <v>29</v>
      </c>
      <c r="V36" s="47"/>
      <c r="X36" s="44" t="s">
        <v>68</v>
      </c>
      <c r="Y36" s="30"/>
      <c r="Z36" s="30"/>
      <c r="AA36" s="44" t="s">
        <v>65</v>
      </c>
      <c r="AB36" s="44" t="s">
        <v>64</v>
      </c>
      <c r="AC36" s="29" t="s">
        <v>65</v>
      </c>
      <c r="AD36" s="44" t="s">
        <v>64</v>
      </c>
      <c r="AE36" s="44"/>
      <c r="AF36" s="30" t="s">
        <v>28</v>
      </c>
      <c r="AG36" s="30" t="s">
        <v>26</v>
      </c>
    </row>
    <row r="37" spans="1:33" ht="13">
      <c r="A37" s="43" t="s">
        <v>94</v>
      </c>
      <c r="B37" s="36" t="s">
        <v>95</v>
      </c>
      <c r="C37" s="36" t="str">
        <f>VLOOKUP(A37, 'PGY2'!$A$3:$AA$20, 17, FALSE)</f>
        <v>V</v>
      </c>
      <c r="D37" s="37" t="str">
        <f>CONCATENATE(VLOOKUP(A37,'PGY2'!$A$3:$AA$20, 18, FALSE), " / ", VLOOKUP(A37,'PGY2'!$A$3:$AA$20, 19, FALSE))</f>
        <v>PedB / BH/TH</v>
      </c>
      <c r="E37" s="36" t="str">
        <f>VLOOKUP(A37, 'PGY2'!$A$3:$AA$20, 20, FALSE)</f>
        <v>BH/TH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4" t="s">
        <v>53</v>
      </c>
      <c r="U37" s="44" t="s">
        <v>23</v>
      </c>
      <c r="V37" s="47"/>
      <c r="W37" s="47"/>
      <c r="X37" s="44" t="s">
        <v>65</v>
      </c>
      <c r="Y37" s="30" t="s">
        <v>64</v>
      </c>
      <c r="Z37" s="30" t="s">
        <v>65</v>
      </c>
      <c r="AA37" s="44" t="s">
        <v>64</v>
      </c>
      <c r="AB37" s="44" t="s">
        <v>65</v>
      </c>
      <c r="AC37" s="29"/>
      <c r="AD37" s="44" t="s">
        <v>28</v>
      </c>
      <c r="AE37" s="44" t="s">
        <v>29</v>
      </c>
      <c r="AF37" s="30"/>
      <c r="AG37" s="30"/>
    </row>
    <row r="38" spans="1:33" ht="13">
      <c r="A38" s="31" t="s">
        <v>96</v>
      </c>
      <c r="B38" s="32" t="s">
        <v>11</v>
      </c>
      <c r="C38" s="32" t="s">
        <v>12</v>
      </c>
      <c r="D38" s="32" t="s">
        <v>13</v>
      </c>
      <c r="E38" s="32" t="s">
        <v>14</v>
      </c>
      <c r="F38" s="21">
        <f t="shared" ref="F38:AA38" si="2">COUNTIF(F$39:F$68,"N")</f>
        <v>0</v>
      </c>
      <c r="G38" s="21">
        <f t="shared" si="2"/>
        <v>0</v>
      </c>
      <c r="H38" s="21">
        <f t="shared" si="2"/>
        <v>0</v>
      </c>
      <c r="I38" s="21">
        <f t="shared" si="2"/>
        <v>0</v>
      </c>
      <c r="J38" s="21">
        <f t="shared" si="2"/>
        <v>0</v>
      </c>
      <c r="K38" s="21">
        <f t="shared" si="2"/>
        <v>0</v>
      </c>
      <c r="L38" s="21">
        <f t="shared" si="2"/>
        <v>0</v>
      </c>
      <c r="M38" s="21">
        <f t="shared" si="2"/>
        <v>0</v>
      </c>
      <c r="N38" s="21">
        <f t="shared" si="2"/>
        <v>0</v>
      </c>
      <c r="O38" s="21">
        <f t="shared" si="2"/>
        <v>0</v>
      </c>
      <c r="P38" s="21">
        <f t="shared" si="2"/>
        <v>0</v>
      </c>
      <c r="Q38" s="21">
        <f t="shared" si="2"/>
        <v>0</v>
      </c>
      <c r="R38" s="21">
        <f t="shared" si="2"/>
        <v>0</v>
      </c>
      <c r="S38" s="21">
        <f t="shared" si="2"/>
        <v>0</v>
      </c>
      <c r="T38" s="21">
        <f t="shared" si="2"/>
        <v>0</v>
      </c>
      <c r="U38" s="21">
        <f t="shared" si="2"/>
        <v>0</v>
      </c>
      <c r="V38" s="21">
        <f t="shared" si="2"/>
        <v>0</v>
      </c>
      <c r="W38" s="21">
        <f t="shared" si="2"/>
        <v>0</v>
      </c>
      <c r="X38" s="21">
        <f t="shared" si="2"/>
        <v>0</v>
      </c>
      <c r="Y38" s="21">
        <f t="shared" si="2"/>
        <v>0</v>
      </c>
      <c r="Z38" s="21">
        <f t="shared" si="2"/>
        <v>0</v>
      </c>
      <c r="AA38" s="21">
        <f t="shared" si="2"/>
        <v>0</v>
      </c>
      <c r="AB38" s="21">
        <f>COUNTIF(AB$39:AB$67,"N")</f>
        <v>0</v>
      </c>
      <c r="AC38" s="21">
        <f t="shared" ref="AC38:AG38" si="3">COUNTIF(AC$39:AC$68,"N")</f>
        <v>0</v>
      </c>
      <c r="AD38" s="21">
        <f t="shared" si="3"/>
        <v>0</v>
      </c>
      <c r="AE38" s="21">
        <f t="shared" si="3"/>
        <v>0</v>
      </c>
      <c r="AF38" s="21">
        <f t="shared" si="3"/>
        <v>0</v>
      </c>
      <c r="AG38" s="21">
        <f t="shared" si="3"/>
        <v>0</v>
      </c>
    </row>
    <row r="39" spans="1:33" ht="13">
      <c r="A39" s="28" t="s">
        <v>97</v>
      </c>
      <c r="B39" s="36" t="s">
        <v>98</v>
      </c>
      <c r="C39" s="36" t="str">
        <f>VLOOKUP(A39, 'PGY3'!$A$3:$AA$20, 17, FALSE)</f>
        <v>Elec</v>
      </c>
      <c r="D39" s="37" t="str">
        <f>CONCATENATE(VLOOKUP(A39,'PGY3'!$A$3:$AA$20, 18, FALSE), " / ", VLOOKUP(A39,'PGY3'!$A$3:$AA$20, 19, FALSE))</f>
        <v>ED / Elec</v>
      </c>
      <c r="E39" s="36" t="str">
        <f>VLOOKUP(A39, 'PGY3'!$A$3:$AA$20, 20, FALSE)</f>
        <v>MICU</v>
      </c>
      <c r="F39" s="49" t="s">
        <v>99</v>
      </c>
      <c r="G39" s="49" t="s">
        <v>100</v>
      </c>
      <c r="H39" s="52" t="s">
        <v>23</v>
      </c>
      <c r="I39" s="52" t="s">
        <v>101</v>
      </c>
      <c r="J39" s="56" t="s">
        <v>102</v>
      </c>
      <c r="K39" s="53" t="s">
        <v>102</v>
      </c>
      <c r="L39" s="57" t="s">
        <v>103</v>
      </c>
      <c r="M39" s="47"/>
      <c r="N39" s="47" t="s">
        <v>104</v>
      </c>
      <c r="O39" s="54" t="s">
        <v>99</v>
      </c>
      <c r="P39" s="47"/>
      <c r="Q39" s="47"/>
      <c r="R39" s="58"/>
      <c r="S39" s="58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</row>
    <row r="40" spans="1:33" ht="13">
      <c r="A40" s="28" t="s">
        <v>105</v>
      </c>
      <c r="B40" s="36"/>
      <c r="C40" s="36" t="s">
        <v>106</v>
      </c>
      <c r="D40" s="37" t="s">
        <v>107</v>
      </c>
      <c r="E40" s="36" t="s">
        <v>108</v>
      </c>
      <c r="F40" s="47" t="s">
        <v>104</v>
      </c>
      <c r="G40" s="49" t="s">
        <v>109</v>
      </c>
      <c r="H40" s="60"/>
      <c r="I40" s="47" t="s">
        <v>110</v>
      </c>
      <c r="J40" s="61" t="s">
        <v>103</v>
      </c>
      <c r="K40" s="57" t="s">
        <v>103</v>
      </c>
      <c r="L40" s="53" t="s">
        <v>102</v>
      </c>
      <c r="M40" s="47"/>
      <c r="N40" s="47"/>
      <c r="O40" s="54" t="s">
        <v>100</v>
      </c>
      <c r="P40" s="47" t="s">
        <v>111</v>
      </c>
      <c r="Q40" s="47" t="s">
        <v>104</v>
      </c>
      <c r="R40" s="58"/>
      <c r="S40" s="58"/>
      <c r="T40" s="47" t="s">
        <v>109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</row>
    <row r="41" spans="1:33" ht="13">
      <c r="A41" s="28" t="s">
        <v>112</v>
      </c>
      <c r="B41" s="36" t="s">
        <v>113</v>
      </c>
      <c r="C41" s="36" t="str">
        <f>VLOOKUP(A41, 'PGY3'!$A$3:$AA$20, 17, FALSE)</f>
        <v>Hand</v>
      </c>
      <c r="D41" s="37" t="str">
        <f>CONCATENATE(VLOOKUP(A41,'PGY3'!$A$3:$AA$20, 18, FALSE), " / ", VLOOKUP(A41,'PGY3'!$A$3:$AA$20, 19, FALSE))</f>
        <v>ED / ED</v>
      </c>
      <c r="E41" s="36" t="str">
        <f>VLOOKUP(A41, 'PGY3'!$A$3:$AA$20, 20, FALSE)</f>
        <v>ED</v>
      </c>
      <c r="F41" s="47"/>
      <c r="G41" s="47"/>
      <c r="H41" s="60"/>
      <c r="I41" s="49" t="s">
        <v>114</v>
      </c>
      <c r="J41" s="49" t="s">
        <v>100</v>
      </c>
      <c r="K41" s="58"/>
      <c r="L41" s="58"/>
      <c r="M41" s="62" t="s">
        <v>115</v>
      </c>
      <c r="N41" s="49" t="s">
        <v>99</v>
      </c>
      <c r="O41" s="54" t="s">
        <v>109</v>
      </c>
      <c r="P41" s="49" t="s">
        <v>28</v>
      </c>
      <c r="Q41" s="56" t="s">
        <v>102</v>
      </c>
      <c r="R41" s="53" t="s">
        <v>102</v>
      </c>
      <c r="S41" s="53" t="s">
        <v>102</v>
      </c>
      <c r="T41" s="47"/>
      <c r="U41" s="47" t="s">
        <v>99</v>
      </c>
      <c r="V41" s="29" t="s">
        <v>100</v>
      </c>
      <c r="W41" s="47" t="s">
        <v>99</v>
      </c>
      <c r="X41" s="47" t="s">
        <v>101</v>
      </c>
      <c r="Y41" s="30"/>
      <c r="Z41" s="30"/>
      <c r="AA41" s="47" t="s">
        <v>99</v>
      </c>
      <c r="AB41" s="47" t="s">
        <v>100</v>
      </c>
      <c r="AC41" s="29" t="s">
        <v>101</v>
      </c>
      <c r="AD41" s="47"/>
      <c r="AE41" s="47"/>
      <c r="AF41" s="30" t="s">
        <v>116</v>
      </c>
      <c r="AG41" s="30" t="s">
        <v>116</v>
      </c>
    </row>
    <row r="42" spans="1:33" ht="13">
      <c r="A42" s="63" t="s">
        <v>117</v>
      </c>
      <c r="B42" s="36" t="s">
        <v>118</v>
      </c>
      <c r="C42" s="36" t="str">
        <f>VLOOKUP(A42, 'PGY3'!$A$3:$AA$20, 17, FALSE)</f>
        <v>ED</v>
      </c>
      <c r="D42" s="37" t="str">
        <f>CONCATENATE(VLOOKUP(A42,'PGY3'!$A$3:$AA$20, 18, FALSE), " / ", VLOOKUP(A42,'PGY3'!$A$3:$AA$20, 19, FALSE))</f>
        <v>ED / ED</v>
      </c>
      <c r="E42" s="36" t="str">
        <f>VLOOKUP(A42, 'PGY3'!$A$3:$AA$20, 20, FALSE)</f>
        <v>MICU</v>
      </c>
      <c r="F42" s="52" t="s">
        <v>101</v>
      </c>
      <c r="G42" s="49" t="s">
        <v>99</v>
      </c>
      <c r="H42" s="49" t="s">
        <v>99</v>
      </c>
      <c r="I42" s="47"/>
      <c r="J42" s="35" t="s">
        <v>110</v>
      </c>
      <c r="K42" s="54" t="s">
        <v>119</v>
      </c>
      <c r="L42" s="64" t="s">
        <v>110</v>
      </c>
      <c r="M42" s="49" t="s">
        <v>100</v>
      </c>
      <c r="N42" s="49" t="s">
        <v>37</v>
      </c>
      <c r="O42" s="60"/>
      <c r="P42" s="49" t="s">
        <v>100</v>
      </c>
      <c r="Q42" s="49" t="s">
        <v>99</v>
      </c>
      <c r="R42" s="58"/>
      <c r="S42" s="58"/>
      <c r="T42" s="47"/>
      <c r="U42" s="47" t="s">
        <v>100</v>
      </c>
      <c r="V42" s="29"/>
      <c r="W42" s="47" t="s">
        <v>103</v>
      </c>
      <c r="X42" s="47" t="s">
        <v>102</v>
      </c>
      <c r="Y42" s="30" t="s">
        <v>102</v>
      </c>
      <c r="Z42" s="30" t="s">
        <v>102</v>
      </c>
      <c r="AA42" s="47"/>
      <c r="AB42" s="47"/>
      <c r="AC42" s="29" t="s">
        <v>99</v>
      </c>
      <c r="AD42" s="47" t="s">
        <v>110</v>
      </c>
      <c r="AE42" s="47" t="s">
        <v>101</v>
      </c>
      <c r="AF42" s="30"/>
      <c r="AG42" s="30"/>
    </row>
    <row r="43" spans="1:33" ht="13">
      <c r="A43" s="28" t="s">
        <v>120</v>
      </c>
      <c r="B43" s="36" t="s">
        <v>121</v>
      </c>
      <c r="C43" s="36" t="str">
        <f>VLOOKUP(A43, 'PGY3'!$A$3:$AA$20, 17, FALSE)</f>
        <v>Tox-H</v>
      </c>
      <c r="D43" s="37" t="str">
        <f>CONCATENATE(VLOOKUP(A43,'PGY3'!$A$3:$AA$20, 18, FALSE), " / ", VLOOKUP(A43,'PGY3'!$A$3:$AA$20, 19, FALSE))</f>
        <v>ED / ED</v>
      </c>
      <c r="E43" s="36" t="str">
        <f>VLOOKUP(A43, 'PGY3'!$A$3:$AA$20, 20, FALSE)</f>
        <v>V</v>
      </c>
      <c r="F43" s="47"/>
      <c r="G43" s="47"/>
      <c r="H43" s="62" t="s">
        <v>115</v>
      </c>
      <c r="I43" s="52" t="s">
        <v>122</v>
      </c>
      <c r="J43" s="52" t="s">
        <v>101</v>
      </c>
      <c r="K43" s="58"/>
      <c r="L43" s="58"/>
      <c r="M43" s="56" t="s">
        <v>102</v>
      </c>
      <c r="N43" s="56" t="s">
        <v>102</v>
      </c>
      <c r="O43" s="53" t="s">
        <v>102</v>
      </c>
      <c r="P43" s="56" t="s">
        <v>102</v>
      </c>
      <c r="Q43" s="47"/>
      <c r="R43" s="54" t="s">
        <v>119</v>
      </c>
      <c r="S43" s="54" t="s">
        <v>119</v>
      </c>
      <c r="T43" s="47" t="s">
        <v>100</v>
      </c>
      <c r="U43" s="47" t="s">
        <v>110</v>
      </c>
      <c r="V43" s="29"/>
      <c r="X43" s="47" t="s">
        <v>109</v>
      </c>
      <c r="Y43" s="30" t="s">
        <v>110</v>
      </c>
      <c r="Z43" s="30" t="s">
        <v>123</v>
      </c>
      <c r="AB43" s="47" t="s">
        <v>111</v>
      </c>
      <c r="AC43" s="29" t="s">
        <v>100</v>
      </c>
      <c r="AD43" s="47"/>
      <c r="AE43" s="47" t="s">
        <v>109</v>
      </c>
      <c r="AF43" s="30"/>
      <c r="AG43" s="30"/>
    </row>
    <row r="44" spans="1:33" ht="13">
      <c r="A44" s="63" t="s">
        <v>124</v>
      </c>
      <c r="B44" s="36" t="s">
        <v>125</v>
      </c>
      <c r="C44" s="36" t="str">
        <f>VLOOKUP(A44, 'PGY3'!$A$3:$AA$20, 17, FALSE)</f>
        <v>BKN</v>
      </c>
      <c r="D44" s="37" t="str">
        <f>CONCATENATE(VLOOKUP(A44,'PGY3'!$A$3:$AA$20, 18, FALSE), " / ", VLOOKUP(A44,'PGY3'!$A$3:$AA$20, 19, FALSE))</f>
        <v>ED / ED</v>
      </c>
      <c r="E44" s="36" t="str">
        <f>VLOOKUP(A44, 'PGY3'!$A$3:$AA$20, 20, FALSE)</f>
        <v>ED</v>
      </c>
      <c r="F44" s="49" t="s">
        <v>100</v>
      </c>
      <c r="G44" s="52" t="s">
        <v>101</v>
      </c>
      <c r="H44" s="49" t="s">
        <v>100</v>
      </c>
      <c r="I44" s="47"/>
      <c r="J44" s="47" t="s">
        <v>111</v>
      </c>
      <c r="K44" s="54" t="s">
        <v>116</v>
      </c>
      <c r="L44" s="54" t="s">
        <v>116</v>
      </c>
      <c r="M44" s="49" t="s">
        <v>37</v>
      </c>
      <c r="N44" s="49" t="s">
        <v>100</v>
      </c>
      <c r="O44" s="60"/>
      <c r="P44" s="62" t="s">
        <v>115</v>
      </c>
      <c r="Q44" s="47"/>
      <c r="R44" s="58"/>
      <c r="S44" s="58" t="s">
        <v>115</v>
      </c>
      <c r="T44" s="35" t="s">
        <v>103</v>
      </c>
      <c r="U44" s="35" t="s">
        <v>102</v>
      </c>
      <c r="V44" s="35" t="s">
        <v>102</v>
      </c>
      <c r="X44" s="47"/>
      <c r="Y44" s="30" t="s">
        <v>109</v>
      </c>
      <c r="Z44" s="30" t="s">
        <v>109</v>
      </c>
      <c r="AA44" s="47" t="s">
        <v>101</v>
      </c>
      <c r="AB44" s="47" t="s">
        <v>99</v>
      </c>
      <c r="AC44" s="29"/>
      <c r="AD44" s="47"/>
      <c r="AE44" s="47" t="s">
        <v>122</v>
      </c>
      <c r="AF44" s="30"/>
      <c r="AG44" s="30"/>
    </row>
    <row r="45" spans="1:33" ht="13">
      <c r="A45" s="28" t="s">
        <v>126</v>
      </c>
      <c r="B45" s="36" t="s">
        <v>127</v>
      </c>
      <c r="C45" s="36" t="str">
        <f>VLOOKUP(A45, 'PGY3'!$A$3:$AA$20, 17, FALSE)</f>
        <v>BKN</v>
      </c>
      <c r="D45" s="37" t="str">
        <f>CONCATENATE(VLOOKUP(A45,'PGY3'!$A$3:$AA$20, 18, FALSE), " / ", VLOOKUP(A45,'PGY3'!$A$3:$AA$20, 19, FALSE))</f>
        <v>ED / ED</v>
      </c>
      <c r="E45" s="36" t="str">
        <f>VLOOKUP(A45, 'PGY3'!$A$3:$AA$20, 20, FALSE)</f>
        <v>Elec</v>
      </c>
      <c r="F45" s="47"/>
      <c r="G45" s="47"/>
      <c r="H45" s="56" t="s">
        <v>102</v>
      </c>
      <c r="I45" s="56" t="s">
        <v>102</v>
      </c>
      <c r="J45" s="47"/>
      <c r="K45" s="58" t="s">
        <v>111</v>
      </c>
      <c r="L45" s="58" t="s">
        <v>111</v>
      </c>
      <c r="M45" s="49" t="s">
        <v>99</v>
      </c>
      <c r="N45" s="65" t="s">
        <v>123</v>
      </c>
      <c r="O45" s="64" t="s">
        <v>115</v>
      </c>
      <c r="P45" s="52" t="s">
        <v>101</v>
      </c>
      <c r="Q45" s="66" t="s">
        <v>122</v>
      </c>
      <c r="R45" s="58"/>
      <c r="S45" s="58"/>
      <c r="T45" s="47" t="s">
        <v>110</v>
      </c>
      <c r="U45" s="47"/>
      <c r="V45" s="29" t="s">
        <v>99</v>
      </c>
      <c r="W45" s="47" t="s">
        <v>101</v>
      </c>
      <c r="X45" s="47" t="s">
        <v>104</v>
      </c>
      <c r="Y45" s="30" t="s">
        <v>116</v>
      </c>
      <c r="Z45" s="30" t="s">
        <v>116</v>
      </c>
      <c r="AA45" s="47"/>
      <c r="AB45" s="47" t="s">
        <v>128</v>
      </c>
      <c r="AC45" s="29" t="s">
        <v>102</v>
      </c>
      <c r="AD45" s="47" t="s">
        <v>102</v>
      </c>
      <c r="AE45" s="47"/>
      <c r="AF45" s="30"/>
      <c r="AG45" s="30"/>
    </row>
    <row r="46" spans="1:33" ht="13">
      <c r="A46" s="28" t="s">
        <v>129</v>
      </c>
      <c r="B46" s="36" t="s">
        <v>130</v>
      </c>
      <c r="C46" s="36" t="str">
        <f>VLOOKUP(A46, 'PGY3'!$A$3:$AA$20, 17, FALSE)</f>
        <v>BKN</v>
      </c>
      <c r="D46" s="37" t="str">
        <f>CONCATENATE(VLOOKUP(A46,'PGY3'!$A$3:$AA$20, 18, FALSE), " / ", VLOOKUP(A46,'PGY3'!$A$3:$AA$20, 19, FALSE))</f>
        <v>ED / ED</v>
      </c>
      <c r="E46" s="36" t="str">
        <f>VLOOKUP(A46, 'PGY3'!$A$3:$AA$20, 20, FALSE)</f>
        <v>ED</v>
      </c>
      <c r="F46" s="47"/>
      <c r="G46" s="47"/>
      <c r="H46" s="52" t="s">
        <v>101</v>
      </c>
      <c r="I46" s="49" t="s">
        <v>100</v>
      </c>
      <c r="J46" s="49" t="s">
        <v>99</v>
      </c>
      <c r="K46" s="64" t="s">
        <v>123</v>
      </c>
      <c r="L46" s="54" t="s">
        <v>119</v>
      </c>
      <c r="M46" s="52" t="s">
        <v>101</v>
      </c>
      <c r="N46" s="52" t="s">
        <v>29</v>
      </c>
      <c r="O46" s="60"/>
      <c r="P46" s="49" t="s">
        <v>99</v>
      </c>
      <c r="Q46" s="49" t="s">
        <v>100</v>
      </c>
      <c r="R46" s="58"/>
      <c r="S46" s="58"/>
      <c r="T46" s="47" t="s">
        <v>99</v>
      </c>
      <c r="U46" s="47" t="s">
        <v>104</v>
      </c>
      <c r="V46" s="29" t="s">
        <v>101</v>
      </c>
      <c r="W46" s="47" t="s">
        <v>111</v>
      </c>
      <c r="X46" s="47"/>
      <c r="Y46" s="30"/>
      <c r="Z46" s="30"/>
      <c r="AA46" s="47" t="s">
        <v>115</v>
      </c>
      <c r="AB46" s="47" t="s">
        <v>101</v>
      </c>
      <c r="AC46" s="29"/>
      <c r="AD46" s="47"/>
      <c r="AE46" s="47" t="s">
        <v>102</v>
      </c>
      <c r="AF46" s="30" t="s">
        <v>103</v>
      </c>
      <c r="AG46" s="30" t="s">
        <v>103</v>
      </c>
    </row>
    <row r="47" spans="1:33" ht="13">
      <c r="A47" s="28" t="s">
        <v>131</v>
      </c>
      <c r="B47" s="36" t="s">
        <v>132</v>
      </c>
      <c r="C47" s="36" t="str">
        <f>VLOOKUP(A47, 'PGY3'!$A$3:$AA$20, 17, FALSE)</f>
        <v>ED</v>
      </c>
      <c r="D47" s="37" t="str">
        <f>CONCATENATE(VLOOKUP(A47,'PGY3'!$A$3:$AA$20, 18, FALSE), " / ", VLOOKUP(A47,'PGY3'!$A$3:$AA$20, 19, FALSE))</f>
        <v>ED / ED</v>
      </c>
      <c r="E47" s="36" t="str">
        <f>VLOOKUP(A47, 'PGY3'!$A$3:$AA$20, 20, FALSE)</f>
        <v>Tox-SC</v>
      </c>
      <c r="F47" s="56" t="s">
        <v>102</v>
      </c>
      <c r="G47" s="56" t="s">
        <v>102</v>
      </c>
      <c r="H47" s="60"/>
      <c r="I47" s="65" t="s">
        <v>99</v>
      </c>
      <c r="J47" s="47"/>
      <c r="K47" s="58" t="s">
        <v>110</v>
      </c>
      <c r="L47" s="64" t="s">
        <v>123</v>
      </c>
      <c r="M47" s="67" t="s">
        <v>110</v>
      </c>
      <c r="N47" s="52" t="s">
        <v>101</v>
      </c>
      <c r="O47" s="68" t="s">
        <v>101</v>
      </c>
      <c r="P47" s="47"/>
      <c r="Q47" s="52" t="s">
        <v>101</v>
      </c>
      <c r="R47" s="58"/>
      <c r="S47" s="58"/>
      <c r="T47" s="9" t="s">
        <v>111</v>
      </c>
      <c r="U47" s="9" t="s">
        <v>111</v>
      </c>
      <c r="W47" s="47" t="s">
        <v>110</v>
      </c>
      <c r="X47" s="67" t="s">
        <v>110</v>
      </c>
      <c r="Y47" s="30"/>
      <c r="Z47" s="30"/>
      <c r="AA47" s="35" t="s">
        <v>103</v>
      </c>
      <c r="AB47" s="35" t="s">
        <v>102</v>
      </c>
      <c r="AC47" s="29"/>
      <c r="AD47" s="9" t="s">
        <v>104</v>
      </c>
      <c r="AE47" s="47" t="s">
        <v>100</v>
      </c>
      <c r="AF47" s="30" t="s">
        <v>119</v>
      </c>
      <c r="AG47" s="30" t="s">
        <v>119</v>
      </c>
    </row>
    <row r="48" spans="1:33" ht="13">
      <c r="A48" s="28" t="s">
        <v>133</v>
      </c>
      <c r="B48" s="36" t="s">
        <v>134</v>
      </c>
      <c r="C48" s="36" t="str">
        <f>VLOOKUP(A48, 'PGY3'!$A$3:$AA$20, 17, FALSE)</f>
        <v>Tox-SC</v>
      </c>
      <c r="D48" s="37" t="str">
        <f>CONCATENATE(VLOOKUP(A48,'PGY3'!$A$3:$AA$20, 18, FALSE), " / ", VLOOKUP(A48,'PGY3'!$A$3:$AA$20, 19, FALSE))</f>
        <v>CH / ED</v>
      </c>
      <c r="E48" s="36" t="str">
        <f>VLOOKUP(A48, 'PGY3'!$A$3:$AA$20, 20, FALSE)</f>
        <v>V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47" t="s">
        <v>102</v>
      </c>
      <c r="U48" s="47" t="s">
        <v>103</v>
      </c>
      <c r="V48" s="29"/>
      <c r="W48" s="47" t="s">
        <v>100</v>
      </c>
      <c r="X48" s="47" t="s">
        <v>100</v>
      </c>
      <c r="Y48" s="30" t="s">
        <v>123</v>
      </c>
      <c r="Z48" s="30" t="s">
        <v>115</v>
      </c>
      <c r="AA48" s="47"/>
      <c r="AB48" s="47" t="s">
        <v>104</v>
      </c>
      <c r="AC48" s="29"/>
      <c r="AD48" s="47" t="s">
        <v>99</v>
      </c>
      <c r="AE48" s="47" t="s">
        <v>115</v>
      </c>
      <c r="AF48" s="30"/>
      <c r="AG48" s="30"/>
    </row>
    <row r="49" spans="1:33" ht="13">
      <c r="A49" s="28" t="s">
        <v>135</v>
      </c>
      <c r="B49" s="36"/>
      <c r="C49" s="36" t="s">
        <v>106</v>
      </c>
      <c r="D49" s="37" t="s">
        <v>136</v>
      </c>
      <c r="E49" s="36" t="s">
        <v>108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V49" s="29"/>
      <c r="W49" s="35" t="s">
        <v>111</v>
      </c>
      <c r="X49" s="69"/>
      <c r="Y49" s="30" t="s">
        <v>115</v>
      </c>
      <c r="Z49" s="30" t="s">
        <v>110</v>
      </c>
      <c r="AA49" s="47" t="s">
        <v>102</v>
      </c>
      <c r="AB49" s="47" t="s">
        <v>103</v>
      </c>
      <c r="AC49" s="29"/>
      <c r="AD49" s="47" t="s">
        <v>101</v>
      </c>
      <c r="AE49" s="47" t="s">
        <v>99</v>
      </c>
      <c r="AF49" s="30" t="s">
        <v>110</v>
      </c>
      <c r="AG49" s="30" t="s">
        <v>110</v>
      </c>
    </row>
    <row r="50" spans="1:33" ht="13">
      <c r="A50" s="28" t="s">
        <v>137</v>
      </c>
      <c r="B50" s="36"/>
      <c r="C50" s="36" t="s">
        <v>108</v>
      </c>
      <c r="D50" s="37" t="s">
        <v>136</v>
      </c>
      <c r="E50" s="36" t="s">
        <v>138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35"/>
      <c r="U50" s="47"/>
      <c r="V50" s="29" t="s">
        <v>103</v>
      </c>
      <c r="W50" s="47" t="s">
        <v>102</v>
      </c>
      <c r="X50" s="47"/>
      <c r="Y50" s="30" t="s">
        <v>119</v>
      </c>
      <c r="Z50" s="30" t="s">
        <v>119</v>
      </c>
      <c r="AA50" s="47" t="s">
        <v>104</v>
      </c>
      <c r="AC50" s="29" t="s">
        <v>115</v>
      </c>
      <c r="AD50" s="47" t="s">
        <v>100</v>
      </c>
      <c r="AE50" s="47" t="s">
        <v>110</v>
      </c>
      <c r="AF50" s="30"/>
      <c r="AG50" s="30"/>
    </row>
    <row r="51" spans="1:33" ht="18" customHeight="1">
      <c r="A51" s="17" t="s">
        <v>139</v>
      </c>
      <c r="B51" s="18" t="s">
        <v>11</v>
      </c>
      <c r="C51" s="70" t="s">
        <v>12</v>
      </c>
      <c r="D51" s="70" t="s">
        <v>13</v>
      </c>
      <c r="E51" s="70" t="s">
        <v>140</v>
      </c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13">
      <c r="A52" s="28" t="s">
        <v>141</v>
      </c>
      <c r="B52" s="72" t="s">
        <v>142</v>
      </c>
      <c r="C52" s="36" t="str">
        <f>VLOOKUP(A52, 'PGY4'!$A$3:$AA$20, 17, FALSE)</f>
        <v>ED</v>
      </c>
      <c r="D52" s="37" t="str">
        <f>CONCATENATE(VLOOKUP(A52,'PGY4'!$A$3:$AA$20, 18, FALSE), " / ", VLOOKUP(A52,'PGY4'!$A$3:$AA$20, 19, FALSE))</f>
        <v>ED / Elec/ED</v>
      </c>
      <c r="E52" s="36" t="str">
        <f>VLOOKUP(A52, 'PGY4'!$A$3:$AA$20, 20, FALSE)</f>
        <v>ED</v>
      </c>
      <c r="F52" s="73" t="s">
        <v>143</v>
      </c>
      <c r="G52" s="74" t="s">
        <v>143</v>
      </c>
      <c r="H52" s="75" t="s">
        <v>103</v>
      </c>
      <c r="I52" s="75" t="s">
        <v>103</v>
      </c>
      <c r="J52" s="47"/>
      <c r="K52" s="76" t="s">
        <v>144</v>
      </c>
      <c r="L52" s="76" t="s">
        <v>144</v>
      </c>
      <c r="M52" s="77" t="s">
        <v>144</v>
      </c>
      <c r="N52" s="78" t="s">
        <v>128</v>
      </c>
      <c r="O52" s="54" t="s">
        <v>143</v>
      </c>
      <c r="P52" s="47"/>
      <c r="Q52" s="47"/>
      <c r="R52" s="58" t="s">
        <v>110</v>
      </c>
      <c r="S52" s="58" t="s">
        <v>110</v>
      </c>
      <c r="T52" s="9" t="s">
        <v>145</v>
      </c>
      <c r="U52" s="9"/>
      <c r="V52" s="29"/>
      <c r="W52" s="9"/>
      <c r="X52" s="9"/>
      <c r="Y52" s="30"/>
      <c r="Z52" s="30"/>
      <c r="AA52" s="79"/>
      <c r="AB52" s="79"/>
      <c r="AC52" s="79"/>
      <c r="AD52" s="79"/>
      <c r="AE52" s="79"/>
      <c r="AF52" s="79"/>
      <c r="AG52" s="79"/>
    </row>
    <row r="53" spans="1:33" ht="13">
      <c r="A53" s="28" t="s">
        <v>146</v>
      </c>
      <c r="B53" s="72"/>
      <c r="C53" s="36" t="s">
        <v>108</v>
      </c>
      <c r="D53" s="37" t="s">
        <v>147</v>
      </c>
      <c r="E53" s="36" t="s">
        <v>108</v>
      </c>
      <c r="F53" s="35" t="s">
        <v>122</v>
      </c>
      <c r="G53" s="78" t="s">
        <v>114</v>
      </c>
      <c r="H53" s="60"/>
      <c r="I53" s="47"/>
      <c r="J53" s="74" t="s">
        <v>145</v>
      </c>
      <c r="K53" s="58"/>
      <c r="L53" s="58"/>
      <c r="M53" s="73" t="s">
        <v>143</v>
      </c>
      <c r="N53" s="67" t="s">
        <v>110</v>
      </c>
      <c r="O53" s="60"/>
      <c r="P53" s="73" t="s">
        <v>148</v>
      </c>
      <c r="Q53" s="67" t="s">
        <v>149</v>
      </c>
      <c r="R53" s="53" t="s">
        <v>150</v>
      </c>
      <c r="S53" s="57" t="s">
        <v>103</v>
      </c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</row>
    <row r="54" spans="1:33" ht="13">
      <c r="A54" s="28" t="s">
        <v>151</v>
      </c>
      <c r="B54" s="72" t="s">
        <v>152</v>
      </c>
      <c r="C54" s="36" t="str">
        <f>VLOOKUP(A54, 'PGY4'!$A$3:$AA$20, 17, FALSE)</f>
        <v>ED</v>
      </c>
      <c r="D54" s="37" t="str">
        <f>CONCATENATE(VLOOKUP(A54,'PGY4'!$A$3:$AA$20, 18, FALSE), " / ", VLOOKUP(A54,'PGY4'!$A$3:$AA$20, 19, FALSE))</f>
        <v>ED / Elec</v>
      </c>
      <c r="E54" s="36" t="str">
        <f>VLOOKUP(A54, 'PGY4'!$A$3:$AA$20, 20, FALSE)</f>
        <v>ED</v>
      </c>
      <c r="F54" s="61" t="s">
        <v>103</v>
      </c>
      <c r="G54" s="47"/>
      <c r="H54" s="80"/>
      <c r="I54" s="47"/>
      <c r="J54" s="77" t="s">
        <v>144</v>
      </c>
      <c r="K54" s="54" t="s">
        <v>109</v>
      </c>
      <c r="L54" s="54" t="s">
        <v>143</v>
      </c>
      <c r="M54" s="66" t="s">
        <v>122</v>
      </c>
      <c r="N54" s="47"/>
      <c r="O54" s="60"/>
      <c r="P54" s="66" t="s">
        <v>122</v>
      </c>
      <c r="Q54" s="74" t="s">
        <v>145</v>
      </c>
      <c r="R54" s="58"/>
      <c r="S54" s="58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</row>
    <row r="55" spans="1:33" ht="13">
      <c r="A55" s="28" t="s">
        <v>153</v>
      </c>
      <c r="B55" s="72" t="s">
        <v>154</v>
      </c>
      <c r="C55" s="36" t="str">
        <f>VLOOKUP(A55, 'PGY4'!$A$3:$AA$20, 17, FALSE)</f>
        <v>ED</v>
      </c>
      <c r="D55" s="37" t="str">
        <f>CONCATENATE(VLOOKUP(A55,'PGY4'!$A$3:$AA$20, 18, FALSE), " / ", VLOOKUP(A55,'PGY4'!$A$3:$AA$20, 19, FALSE))</f>
        <v>ED / V</v>
      </c>
      <c r="E55" s="36" t="str">
        <f>VLOOKUP(A55, 'PGY4'!$A$3:$AA$20, 20, FALSE)</f>
        <v>ED</v>
      </c>
      <c r="F55" s="74" t="s">
        <v>145</v>
      </c>
      <c r="G55" s="73" t="s">
        <v>123</v>
      </c>
      <c r="H55" s="66" t="s">
        <v>122</v>
      </c>
      <c r="I55" s="47"/>
      <c r="J55" s="81" t="s">
        <v>150</v>
      </c>
      <c r="K55" s="53" t="s">
        <v>150</v>
      </c>
      <c r="L55" s="53" t="s">
        <v>150</v>
      </c>
      <c r="M55" s="47"/>
      <c r="N55" s="82" t="s">
        <v>144</v>
      </c>
      <c r="O55" s="60"/>
      <c r="P55" s="67" t="s">
        <v>110</v>
      </c>
      <c r="Q55" s="73" t="s">
        <v>143</v>
      </c>
      <c r="R55" s="58"/>
      <c r="S55" s="58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</row>
    <row r="56" spans="1:33" ht="13">
      <c r="A56" s="28" t="s">
        <v>155</v>
      </c>
      <c r="B56" s="72"/>
      <c r="C56" s="36" t="s">
        <v>108</v>
      </c>
      <c r="D56" s="37" t="s">
        <v>156</v>
      </c>
      <c r="E56" s="36" t="s">
        <v>108</v>
      </c>
      <c r="F56" s="81" t="s">
        <v>150</v>
      </c>
      <c r="G56" s="81" t="s">
        <v>150</v>
      </c>
      <c r="H56" s="60"/>
      <c r="I56" s="77" t="s">
        <v>144</v>
      </c>
      <c r="J56" s="65" t="s">
        <v>114</v>
      </c>
      <c r="K56" s="64" t="s">
        <v>115</v>
      </c>
      <c r="L56" s="58" t="s">
        <v>115</v>
      </c>
      <c r="M56" s="67" t="s">
        <v>109</v>
      </c>
      <c r="N56" s="66" t="s">
        <v>122</v>
      </c>
      <c r="O56" s="60"/>
      <c r="P56" s="74" t="s">
        <v>123</v>
      </c>
      <c r="Q56" s="47"/>
      <c r="R56" s="58"/>
      <c r="S56" s="58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</row>
    <row r="57" spans="1:33" ht="13">
      <c r="A57" s="28" t="s">
        <v>157</v>
      </c>
      <c r="B57" s="72" t="s">
        <v>158</v>
      </c>
      <c r="C57" s="36" t="str">
        <f>VLOOKUP(A57, 'PGY4'!$A$3:$AA$20, 17, FALSE)</f>
        <v>BKN</v>
      </c>
      <c r="D57" s="37" t="str">
        <f>CONCATENATE(VLOOKUP(A57,'PGY4'!$A$3:$AA$20, 18, FALSE), " / ", VLOOKUP(A57,'PGY4'!$A$3:$AA$20, 19, FALSE))</f>
        <v>ED / ED</v>
      </c>
      <c r="E57" s="36" t="str">
        <f>VLOOKUP(A57, 'PGY4'!$A$3:$AA$20, 20, FALSE)</f>
        <v>ED</v>
      </c>
      <c r="F57" s="35" t="s">
        <v>123</v>
      </c>
      <c r="G57" s="78" t="s">
        <v>128</v>
      </c>
      <c r="H57" s="60"/>
      <c r="I57" s="67" t="s">
        <v>104</v>
      </c>
      <c r="J57" s="47"/>
      <c r="K57" s="58"/>
      <c r="L57" s="58"/>
      <c r="M57" s="67" t="s">
        <v>111</v>
      </c>
      <c r="N57" s="73" t="s">
        <v>109</v>
      </c>
      <c r="P57" s="77" t="s">
        <v>144</v>
      </c>
      <c r="Q57" s="64" t="s">
        <v>123</v>
      </c>
      <c r="R57" s="54" t="s">
        <v>143</v>
      </c>
      <c r="S57" s="64" t="s">
        <v>123</v>
      </c>
      <c r="T57" s="9" t="s">
        <v>123</v>
      </c>
      <c r="U57" s="9" t="s">
        <v>109</v>
      </c>
      <c r="V57" s="29"/>
      <c r="W57" s="9" t="s">
        <v>145</v>
      </c>
      <c r="X57" s="9" t="s">
        <v>145</v>
      </c>
      <c r="Y57" s="58"/>
      <c r="Z57" s="58"/>
      <c r="AA57" s="35" t="s">
        <v>111</v>
      </c>
      <c r="AB57" s="83" t="s">
        <v>144</v>
      </c>
      <c r="AD57" s="9" t="s">
        <v>111</v>
      </c>
      <c r="AE57" s="9" t="s">
        <v>103</v>
      </c>
      <c r="AF57" s="30" t="s">
        <v>149</v>
      </c>
      <c r="AG57" s="30"/>
    </row>
    <row r="58" spans="1:33" ht="13">
      <c r="A58" s="63" t="s">
        <v>159</v>
      </c>
      <c r="B58" s="72" t="s">
        <v>160</v>
      </c>
      <c r="C58" s="36" t="str">
        <f>VLOOKUP(A58, 'PGY4'!$A$3:$AA$20, 17, FALSE)</f>
        <v>ED</v>
      </c>
      <c r="D58" s="37" t="str">
        <f>CONCATENATE(VLOOKUP(A58,'PGY4'!$A$3:$AA$20, 18, FALSE), " / ", VLOOKUP(A58,'PGY4'!$A$3:$AA$20, 19, FALSE))</f>
        <v>ED / ED</v>
      </c>
      <c r="E58" s="36" t="str">
        <f>VLOOKUP(A58, 'PGY4'!$A$3:$AA$20, 20, FALSE)</f>
        <v>BKN</v>
      </c>
      <c r="F58" s="73" t="s">
        <v>148</v>
      </c>
      <c r="G58" s="47"/>
      <c r="H58" s="73" t="s">
        <v>148</v>
      </c>
      <c r="I58" s="74" t="s">
        <v>123</v>
      </c>
      <c r="J58" s="67" t="s">
        <v>104</v>
      </c>
      <c r="K58" s="58"/>
      <c r="L58" s="58"/>
      <c r="M58" s="78" t="s">
        <v>114</v>
      </c>
      <c r="N58" s="73" t="s">
        <v>143</v>
      </c>
      <c r="O58" s="60"/>
      <c r="P58" s="75" t="s">
        <v>103</v>
      </c>
      <c r="Q58" s="81" t="s">
        <v>150</v>
      </c>
      <c r="R58" s="58" t="s">
        <v>149</v>
      </c>
      <c r="S58" s="51"/>
      <c r="T58" s="47" t="s">
        <v>101</v>
      </c>
      <c r="U58" s="83" t="s">
        <v>144</v>
      </c>
      <c r="V58" s="29" t="s">
        <v>143</v>
      </c>
      <c r="W58" s="9"/>
      <c r="X58" s="78" t="s">
        <v>114</v>
      </c>
      <c r="Y58" s="58"/>
      <c r="Z58" s="58"/>
      <c r="AA58" s="9" t="s">
        <v>144</v>
      </c>
      <c r="AC58" s="29"/>
      <c r="AD58" s="9" t="s">
        <v>143</v>
      </c>
      <c r="AE58" s="9" t="s">
        <v>143</v>
      </c>
      <c r="AF58" s="30" t="s">
        <v>123</v>
      </c>
      <c r="AG58" s="30" t="s">
        <v>115</v>
      </c>
    </row>
    <row r="59" spans="1:33" ht="13">
      <c r="A59" s="28" t="s">
        <v>161</v>
      </c>
      <c r="B59" s="72" t="s">
        <v>162</v>
      </c>
      <c r="C59" s="36" t="str">
        <f>VLOOKUP(A59, 'PGY4'!$A$3:$AA$20, 17, FALSE)</f>
        <v>Elec</v>
      </c>
      <c r="D59" s="37" t="str">
        <f>CONCATENATE(VLOOKUP(A59,'PGY4'!$A$3:$AA$20, 18, FALSE), " / ", VLOOKUP(A59,'PGY4'!$A$3:$AA$20, 19, FALSE))</f>
        <v>ED / ED</v>
      </c>
      <c r="E59" s="36" t="str">
        <f>VLOOKUP(A59, 'PGY4'!$A$3:$AA$20, 20, FALSE)</f>
        <v>ED</v>
      </c>
      <c r="F59" s="77" t="s">
        <v>144</v>
      </c>
      <c r="G59" s="73" t="s">
        <v>122</v>
      </c>
      <c r="H59" s="73" t="s">
        <v>143</v>
      </c>
      <c r="I59" s="67" t="s">
        <v>111</v>
      </c>
      <c r="J59" s="52" t="s">
        <v>23</v>
      </c>
      <c r="K59" s="58"/>
      <c r="L59" s="58"/>
      <c r="M59" s="47"/>
      <c r="N59" s="47"/>
      <c r="O59" s="60"/>
      <c r="P59" s="78" t="s">
        <v>114</v>
      </c>
      <c r="Q59" s="82" t="s">
        <v>144</v>
      </c>
      <c r="R59" s="64" t="s">
        <v>115</v>
      </c>
      <c r="S59" s="51"/>
      <c r="T59" s="9"/>
      <c r="U59" s="9" t="s">
        <v>114</v>
      </c>
      <c r="V59" s="29" t="s">
        <v>145</v>
      </c>
      <c r="W59" s="9" t="s">
        <v>122</v>
      </c>
      <c r="X59" s="67" t="s">
        <v>99</v>
      </c>
      <c r="Y59" s="58"/>
      <c r="Z59" s="58"/>
      <c r="AA59" s="9" t="s">
        <v>122</v>
      </c>
      <c r="AB59" s="9" t="s">
        <v>123</v>
      </c>
      <c r="AC59" s="29"/>
      <c r="AD59" s="9" t="s">
        <v>150</v>
      </c>
      <c r="AE59" s="9" t="s">
        <v>150</v>
      </c>
      <c r="AF59" s="30" t="s">
        <v>150</v>
      </c>
      <c r="AG59" s="30" t="s">
        <v>150</v>
      </c>
    </row>
    <row r="60" spans="1:33" ht="13">
      <c r="A60" s="28" t="s">
        <v>163</v>
      </c>
      <c r="B60" s="72" t="s">
        <v>164</v>
      </c>
      <c r="C60" s="36" t="str">
        <f>VLOOKUP(A60, 'PGY4'!$A$3:$AA$20, 17, FALSE)</f>
        <v>ED</v>
      </c>
      <c r="D60" s="37" t="str">
        <f>CONCATENATE(VLOOKUP(A60,'PGY4'!$A$3:$AA$20, 18, FALSE), " / ", VLOOKUP(A60,'PGY4'!$A$3:$AA$20, 19, FALSE))</f>
        <v>ED / ED</v>
      </c>
      <c r="E60" s="36" t="str">
        <f>VLOOKUP(A60, 'PGY4'!$A$3:$AA$20, 20, FALSE)</f>
        <v>BKN</v>
      </c>
      <c r="F60" s="67" t="s">
        <v>110</v>
      </c>
      <c r="G60" s="75" t="s">
        <v>103</v>
      </c>
      <c r="H60" s="81" t="s">
        <v>150</v>
      </c>
      <c r="I60" s="81" t="s">
        <v>150</v>
      </c>
      <c r="J60" s="47"/>
      <c r="K60" s="58"/>
      <c r="L60" s="58"/>
      <c r="M60" s="47"/>
      <c r="N60" s="74" t="s">
        <v>114</v>
      </c>
      <c r="O60" s="60"/>
      <c r="P60" s="67" t="s">
        <v>104</v>
      </c>
      <c r="Q60" s="78" t="s">
        <v>114</v>
      </c>
      <c r="R60" s="76" t="s">
        <v>144</v>
      </c>
      <c r="S60" s="76" t="s">
        <v>143</v>
      </c>
      <c r="T60" s="35" t="s">
        <v>122</v>
      </c>
      <c r="U60" s="9" t="s">
        <v>123</v>
      </c>
      <c r="V60" s="29"/>
      <c r="W60" s="83" t="s">
        <v>144</v>
      </c>
      <c r="X60" s="47"/>
      <c r="Y60" s="58"/>
      <c r="Z60" s="58"/>
      <c r="AA60" s="9" t="s">
        <v>148</v>
      </c>
      <c r="AB60" s="9" t="s">
        <v>110</v>
      </c>
      <c r="AC60" s="29"/>
      <c r="AD60" s="9" t="s">
        <v>122</v>
      </c>
      <c r="AE60" s="9" t="s">
        <v>104</v>
      </c>
      <c r="AF60" s="30" t="s">
        <v>115</v>
      </c>
      <c r="AG60" s="30" t="s">
        <v>143</v>
      </c>
    </row>
    <row r="61" spans="1:33" ht="13">
      <c r="A61" s="28" t="s">
        <v>165</v>
      </c>
      <c r="B61" s="72" t="s">
        <v>166</v>
      </c>
      <c r="C61" s="36" t="str">
        <f>VLOOKUP(A61, 'PGY4'!$A$3:$AA$20, 17, FALSE)</f>
        <v>Elec</v>
      </c>
      <c r="D61" s="37" t="str">
        <f>CONCATENATE(VLOOKUP(A61,'PGY4'!$A$3:$AA$20, 18, FALSE), " / ", VLOOKUP(A61,'PGY4'!$A$3:$AA$20, 19, FALSE))</f>
        <v>ED / ED</v>
      </c>
      <c r="E61" s="36" t="str">
        <f>VLOOKUP(A61, 'PGY4'!$A$3:$AA$20, 20, FALSE)</f>
        <v>ED</v>
      </c>
      <c r="F61" s="67" t="s">
        <v>111</v>
      </c>
      <c r="G61" s="67" t="s">
        <v>111</v>
      </c>
      <c r="H61" s="60"/>
      <c r="I61" s="73" t="s">
        <v>148</v>
      </c>
      <c r="J61" s="66" t="s">
        <v>122</v>
      </c>
      <c r="K61" s="58"/>
      <c r="L61" s="58"/>
      <c r="M61" s="35" t="s">
        <v>104</v>
      </c>
      <c r="N61" s="35" t="s">
        <v>111</v>
      </c>
      <c r="O61" s="60"/>
      <c r="P61" s="47"/>
      <c r="Q61" s="67" t="s">
        <v>110</v>
      </c>
      <c r="R61" s="54" t="s">
        <v>109</v>
      </c>
      <c r="S61" s="54" t="s">
        <v>144</v>
      </c>
      <c r="T61" s="9" t="s">
        <v>114</v>
      </c>
      <c r="V61" s="29" t="s">
        <v>148</v>
      </c>
      <c r="W61" s="73" t="s">
        <v>148</v>
      </c>
      <c r="X61" s="47"/>
      <c r="Y61" s="58"/>
      <c r="Z61" s="58"/>
      <c r="AA61" s="9" t="s">
        <v>114</v>
      </c>
      <c r="AB61" s="9" t="s">
        <v>122</v>
      </c>
      <c r="AC61" s="29"/>
      <c r="AD61" s="35" t="s">
        <v>115</v>
      </c>
      <c r="AE61" s="9" t="s">
        <v>123</v>
      </c>
      <c r="AF61" s="30" t="s">
        <v>144</v>
      </c>
      <c r="AG61" s="30" t="s">
        <v>144</v>
      </c>
    </row>
    <row r="62" spans="1:33" ht="13">
      <c r="A62" s="28" t="s">
        <v>167</v>
      </c>
      <c r="B62" s="72" t="s">
        <v>168</v>
      </c>
      <c r="C62" s="36" t="str">
        <f>VLOOKUP(A62, 'PGY4'!$A$3:$AA$20, 17, FALSE)</f>
        <v>Elec</v>
      </c>
      <c r="D62" s="37" t="str">
        <f>CONCATENATE(VLOOKUP(A62,'PGY4'!$A$3:$AA$20, 18, FALSE), " / ", VLOOKUP(A62,'PGY4'!$A$3:$AA$20, 19, FALSE))</f>
        <v>ED / BKN</v>
      </c>
      <c r="E62" s="36" t="str">
        <f>VLOOKUP(A62, 'PGY4'!$A$3:$AA$20, 20, FALSE)</f>
        <v>V</v>
      </c>
      <c r="F62" s="47"/>
      <c r="G62" s="67" t="s">
        <v>104</v>
      </c>
      <c r="H62" s="60"/>
      <c r="I62" s="74" t="s">
        <v>145</v>
      </c>
      <c r="J62" s="74" t="s">
        <v>123</v>
      </c>
      <c r="K62" s="54" t="s">
        <v>143</v>
      </c>
      <c r="L62" s="54" t="s">
        <v>109</v>
      </c>
      <c r="M62" s="74" t="s">
        <v>123</v>
      </c>
      <c r="N62" s="47"/>
      <c r="O62" s="68" t="s">
        <v>122</v>
      </c>
      <c r="P62" s="73" t="s">
        <v>143</v>
      </c>
      <c r="Q62" s="73" t="s">
        <v>148</v>
      </c>
      <c r="R62" s="58"/>
      <c r="S62" s="58"/>
      <c r="T62" s="9" t="s">
        <v>150</v>
      </c>
      <c r="U62" s="9" t="s">
        <v>150</v>
      </c>
      <c r="V62" s="29" t="s">
        <v>150</v>
      </c>
      <c r="W62" s="81" t="s">
        <v>150</v>
      </c>
      <c r="X62" s="47"/>
      <c r="Y62" s="54" t="s">
        <v>143</v>
      </c>
      <c r="Z62" s="54" t="s">
        <v>143</v>
      </c>
      <c r="AA62" s="9" t="s">
        <v>123</v>
      </c>
      <c r="AB62" s="9"/>
      <c r="AD62" s="9" t="s">
        <v>114</v>
      </c>
      <c r="AE62" s="83" t="s">
        <v>144</v>
      </c>
      <c r="AF62" s="30"/>
      <c r="AG62" s="30"/>
    </row>
    <row r="63" spans="1:33" ht="13">
      <c r="A63" s="63" t="s">
        <v>169</v>
      </c>
      <c r="B63" s="72" t="s">
        <v>170</v>
      </c>
      <c r="C63" s="36" t="str">
        <f>VLOOKUP(A63, 'PGY4'!$A$3:$AA$20, 17, FALSE)</f>
        <v>Elec</v>
      </c>
      <c r="D63" s="37" t="str">
        <f>CONCATENATE(VLOOKUP(A63,'PGY4'!$A$3:$AA$20, 18, FALSE), " / ", VLOOKUP(A63,'PGY4'!$A$3:$AA$20, 19, FALSE))</f>
        <v>ED / ED</v>
      </c>
      <c r="E63" s="36" t="str">
        <f>VLOOKUP(A63, 'PGY4'!$A$3:$AA$20, 20, FALSE)</f>
        <v>BKN</v>
      </c>
      <c r="F63" s="78" t="s">
        <v>114</v>
      </c>
      <c r="G63" s="77" t="s">
        <v>144</v>
      </c>
      <c r="H63" s="60"/>
      <c r="I63" s="47"/>
      <c r="J63" s="73" t="s">
        <v>143</v>
      </c>
      <c r="K63" s="58"/>
      <c r="L63" s="58"/>
      <c r="M63" s="81" t="s">
        <v>150</v>
      </c>
      <c r="N63" s="75" t="s">
        <v>103</v>
      </c>
      <c r="O63" s="57" t="s">
        <v>103</v>
      </c>
      <c r="P63" s="67" t="s">
        <v>149</v>
      </c>
      <c r="Q63" s="75" t="s">
        <v>103</v>
      </c>
      <c r="R63" s="57" t="s">
        <v>103</v>
      </c>
      <c r="S63" s="53" t="s">
        <v>150</v>
      </c>
      <c r="T63" s="9"/>
      <c r="U63" s="9" t="s">
        <v>171</v>
      </c>
      <c r="V63" s="29"/>
      <c r="X63" s="73" t="s">
        <v>143</v>
      </c>
      <c r="Y63" s="58"/>
      <c r="Z63" s="58"/>
      <c r="AA63" s="9" t="s">
        <v>143</v>
      </c>
      <c r="AB63" s="9"/>
      <c r="AC63" s="29" t="s">
        <v>103</v>
      </c>
      <c r="AD63" s="9" t="s">
        <v>103</v>
      </c>
      <c r="AF63" s="30" t="s">
        <v>143</v>
      </c>
      <c r="AG63" s="30" t="s">
        <v>109</v>
      </c>
    </row>
    <row r="64" spans="1:33" ht="13">
      <c r="A64" s="28" t="s">
        <v>172</v>
      </c>
      <c r="B64" s="72" t="s">
        <v>173</v>
      </c>
      <c r="C64" s="36" t="str">
        <f>VLOOKUP(A64, 'PGY4'!$A$3:$AA$20, 17, FALSE)</f>
        <v>BKN</v>
      </c>
      <c r="D64" s="37" t="str">
        <f>CONCATENATE(VLOOKUP(A64,'PGY4'!$A$3:$AA$20, 18, FALSE), " / ", VLOOKUP(A64,'PGY4'!$A$3:$AA$20, 19, FALSE))</f>
        <v>ED / ED</v>
      </c>
      <c r="E64" s="36" t="str">
        <f>VLOOKUP(A64, 'PGY4'!$A$3:$AA$20, 20, FALSE)</f>
        <v>Elec</v>
      </c>
      <c r="F64" s="47"/>
      <c r="G64" s="67" t="s">
        <v>110</v>
      </c>
      <c r="H64" s="60"/>
      <c r="I64" s="73" t="s">
        <v>143</v>
      </c>
      <c r="J64" s="73" t="s">
        <v>148</v>
      </c>
      <c r="K64" s="58"/>
      <c r="L64" s="58"/>
      <c r="M64" s="75" t="s">
        <v>103</v>
      </c>
      <c r="N64" s="81" t="s">
        <v>150</v>
      </c>
      <c r="O64" s="53" t="s">
        <v>150</v>
      </c>
      <c r="P64" s="81" t="s">
        <v>150</v>
      </c>
      <c r="Q64" s="47"/>
      <c r="R64" s="64" t="s">
        <v>123</v>
      </c>
      <c r="S64" s="54" t="s">
        <v>109</v>
      </c>
      <c r="T64" s="9" t="s">
        <v>143</v>
      </c>
      <c r="U64" s="9" t="s">
        <v>122</v>
      </c>
      <c r="V64" s="29"/>
      <c r="W64" s="65" t="s">
        <v>114</v>
      </c>
      <c r="X64" s="47"/>
      <c r="Y64" s="76" t="s">
        <v>144</v>
      </c>
      <c r="Z64" s="76" t="s">
        <v>144</v>
      </c>
      <c r="AA64" s="9" t="s">
        <v>110</v>
      </c>
      <c r="AB64" s="9"/>
      <c r="AC64" s="29" t="s">
        <v>122</v>
      </c>
      <c r="AD64" s="9" t="s">
        <v>144</v>
      </c>
      <c r="AE64" s="9" t="s">
        <v>114</v>
      </c>
      <c r="AF64" s="30"/>
      <c r="AG64" s="30"/>
    </row>
    <row r="65" spans="1:33" ht="13">
      <c r="A65" s="28" t="s">
        <v>174</v>
      </c>
      <c r="B65" s="72" t="s">
        <v>175</v>
      </c>
      <c r="C65" s="36" t="str">
        <f>VLOOKUP(A65, 'PGY4'!$A$3:$AA$20, 17, FALSE)</f>
        <v>Elec</v>
      </c>
      <c r="D65" s="37" t="str">
        <f>CONCATENATE(VLOOKUP(A65,'PGY4'!$A$3:$AA$20, 18, FALSE), " / ", VLOOKUP(A65,'PGY4'!$A$3:$AA$20, 19, FALSE))</f>
        <v>Elec / ED</v>
      </c>
      <c r="E65" s="36" t="str">
        <f>VLOOKUP(A65, 'PGY4'!$A$3:$AA$20, 20, FALSE)</f>
        <v>ED</v>
      </c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9"/>
      <c r="U65" s="9" t="s">
        <v>143</v>
      </c>
      <c r="V65" s="29"/>
      <c r="W65" s="47"/>
      <c r="X65" s="82" t="s">
        <v>144</v>
      </c>
      <c r="Y65" s="58"/>
      <c r="Z65" s="58"/>
      <c r="AA65" s="9"/>
      <c r="AB65" s="9"/>
      <c r="AC65" s="29" t="s">
        <v>150</v>
      </c>
      <c r="AD65" s="9" t="s">
        <v>149</v>
      </c>
      <c r="AE65" s="9"/>
      <c r="AF65" s="30" t="s">
        <v>109</v>
      </c>
      <c r="AG65" s="30" t="s">
        <v>123</v>
      </c>
    </row>
    <row r="66" spans="1:33" ht="13">
      <c r="A66" s="28" t="s">
        <v>176</v>
      </c>
      <c r="B66" s="72" t="s">
        <v>177</v>
      </c>
      <c r="C66" s="36" t="str">
        <f>VLOOKUP(A66, 'PGY4'!$A$3:$AA$20, 17, FALSE)</f>
        <v>ED</v>
      </c>
      <c r="D66" s="37" t="str">
        <f>CONCATENATE(VLOOKUP(A66,'PGY4'!$A$3:$AA$20, 18, FALSE), " / ", VLOOKUP(A66,'PGY4'!$A$3:$AA$20, 19, FALSE))</f>
        <v>V / ED</v>
      </c>
      <c r="E66" s="36" t="str">
        <f>VLOOKUP(A66, 'PGY4'!$A$3:$AA$20, 20, FALSE)</f>
        <v>BKN</v>
      </c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U66" s="9"/>
      <c r="V66" s="29"/>
      <c r="W66" s="67" t="s">
        <v>110</v>
      </c>
      <c r="X66" s="66" t="s">
        <v>122</v>
      </c>
      <c r="Y66" s="58"/>
      <c r="Z66" s="58"/>
      <c r="AA66" s="9" t="s">
        <v>100</v>
      </c>
      <c r="AB66" s="9" t="s">
        <v>178</v>
      </c>
      <c r="AC66" s="29" t="s">
        <v>109</v>
      </c>
      <c r="AD66" s="9" t="s">
        <v>123</v>
      </c>
      <c r="AE66" s="9" t="s">
        <v>149</v>
      </c>
      <c r="AF66" s="30" t="s">
        <v>102</v>
      </c>
      <c r="AG66" s="30" t="s">
        <v>102</v>
      </c>
    </row>
    <row r="67" spans="1:33" ht="13">
      <c r="A67" s="28" t="s">
        <v>179</v>
      </c>
      <c r="B67" s="72" t="s">
        <v>180</v>
      </c>
      <c r="C67" s="36" t="str">
        <f>VLOOKUP(A67, 'PGY4'!$A$3:$AA$20, 17, FALSE)</f>
        <v>ED</v>
      </c>
      <c r="D67" s="37" t="str">
        <f>CONCATENATE(VLOOKUP(A67,'PGY4'!$A$3:$AA$20, 18, FALSE), " / ", VLOOKUP(A67,'PGY4'!$A$3:$AA$20, 19, FALSE))</f>
        <v>Elec / ED</v>
      </c>
      <c r="E67" s="36" t="str">
        <f>VLOOKUP(A67, 'PGY4'!$A$3:$AA$20, 20, FALSE)</f>
        <v>ED</v>
      </c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9" t="s">
        <v>104</v>
      </c>
      <c r="U67" s="9"/>
      <c r="V67" s="29"/>
      <c r="W67" s="74" t="s">
        <v>143</v>
      </c>
      <c r="X67" s="81" t="s">
        <v>150</v>
      </c>
      <c r="Y67" s="53" t="s">
        <v>150</v>
      </c>
      <c r="Z67" s="57" t="s">
        <v>103</v>
      </c>
      <c r="AA67" s="9"/>
      <c r="AB67" s="35" t="s">
        <v>114</v>
      </c>
      <c r="AC67" s="84"/>
      <c r="AE67" s="9"/>
      <c r="AF67" s="30"/>
      <c r="AG67" s="30"/>
    </row>
    <row r="68" spans="1:33" ht="13">
      <c r="A68" s="28" t="s">
        <v>181</v>
      </c>
      <c r="B68" s="72" t="s">
        <v>182</v>
      </c>
      <c r="C68" s="36" t="str">
        <f>VLOOKUP(A68, 'PGY4'!$A$3:$AA$20, 17, FALSE)</f>
        <v>ED</v>
      </c>
      <c r="D68" s="37" t="str">
        <f>CONCATENATE(VLOOKUP(A68,'PGY4'!$A$3:$AA$20, 18, FALSE), " / ", VLOOKUP(A68,'PGY4'!$A$3:$AA$20, 19, FALSE))</f>
        <v>Elec / ED</v>
      </c>
      <c r="E68" s="36" t="str">
        <f>VLOOKUP(A68, 'PGY4'!$A$3:$AA$20, 20, FALSE)</f>
        <v>Elec</v>
      </c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9"/>
      <c r="U68" s="47" t="s">
        <v>101</v>
      </c>
      <c r="V68" s="29" t="s">
        <v>122</v>
      </c>
      <c r="W68" s="73" t="s">
        <v>123</v>
      </c>
      <c r="X68" s="75" t="s">
        <v>103</v>
      </c>
      <c r="Y68" s="57" t="s">
        <v>103</v>
      </c>
      <c r="Z68" s="53" t="s">
        <v>150</v>
      </c>
      <c r="AA68" s="9"/>
      <c r="AB68" s="9" t="s">
        <v>143</v>
      </c>
      <c r="AC68" s="29" t="s">
        <v>143</v>
      </c>
      <c r="AD68" s="9" t="s">
        <v>148</v>
      </c>
      <c r="AE68" s="9"/>
      <c r="AF68" s="30"/>
      <c r="AG68" s="30"/>
    </row>
    <row r="69" spans="1:33" ht="13">
      <c r="A69" s="28" t="s">
        <v>183</v>
      </c>
      <c r="B69" s="72"/>
      <c r="C69" s="36" t="s">
        <v>108</v>
      </c>
      <c r="D69" s="37" t="s">
        <v>184</v>
      </c>
      <c r="E69" s="36" t="s">
        <v>108</v>
      </c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83" t="s">
        <v>144</v>
      </c>
      <c r="U69" s="9" t="s">
        <v>128</v>
      </c>
      <c r="V69" s="29"/>
      <c r="W69" s="47"/>
      <c r="X69" s="74" t="s">
        <v>123</v>
      </c>
      <c r="Y69" s="58" t="s">
        <v>111</v>
      </c>
      <c r="Z69" s="58" t="s">
        <v>111</v>
      </c>
      <c r="AA69" s="9" t="s">
        <v>150</v>
      </c>
      <c r="AB69" s="9" t="s">
        <v>150</v>
      </c>
      <c r="AC69" s="84"/>
      <c r="AE69" s="9"/>
      <c r="AF69" s="30"/>
      <c r="AG69" s="30"/>
    </row>
    <row r="70" spans="1:33" ht="13">
      <c r="A70" s="17" t="s">
        <v>185</v>
      </c>
      <c r="B70" s="18" t="s">
        <v>11</v>
      </c>
      <c r="C70" s="19" t="s">
        <v>12</v>
      </c>
      <c r="D70" s="19" t="s">
        <v>13</v>
      </c>
      <c r="E70" s="19" t="s">
        <v>14</v>
      </c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 spans="1:33" ht="13">
      <c r="A71" s="35" t="s">
        <v>66</v>
      </c>
      <c r="B71" s="36" t="s">
        <v>67</v>
      </c>
      <c r="C71" s="86" t="str">
        <f>VLOOKUP(A71, 'PGY1'!$A$3:$AA$20, 17, FALSE)</f>
        <v>TH</v>
      </c>
      <c r="D71" s="37" t="str">
        <f>CONCATENATE(VLOOKUP(A71,'PGY1'!$A$3:$AA$20, 18, FALSE), " / ", VLOOKUP(A71,'PGY1'!$A$3:$AA$20, 19, FALSE))</f>
        <v>PSY / BH</v>
      </c>
      <c r="E71" s="86" t="str">
        <f>VLOOKUP(A71, 'PGY1'!$A$3:$AA$20, 20, FALSE)</f>
        <v>TH</v>
      </c>
      <c r="F71" s="87"/>
      <c r="G71" s="87"/>
      <c r="H71" s="88"/>
      <c r="I71" s="87"/>
      <c r="J71" s="87"/>
      <c r="K71" s="30"/>
      <c r="L71" s="30"/>
      <c r="M71" s="87"/>
      <c r="N71" s="87"/>
      <c r="O71" s="29"/>
      <c r="P71" s="87"/>
      <c r="Q71" s="87"/>
      <c r="R71" s="30" t="s">
        <v>54</v>
      </c>
      <c r="S71" s="30" t="s">
        <v>60</v>
      </c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</row>
    <row r="72" spans="1:33" ht="13">
      <c r="A72" s="35" t="s">
        <v>186</v>
      </c>
      <c r="B72" s="36" t="s">
        <v>187</v>
      </c>
      <c r="C72" s="86" t="str">
        <f>VLOOKUP(A72, 'PGY1'!$A$3:$AA$20, 17, FALSE)</f>
        <v>TH</v>
      </c>
      <c r="D72" s="37" t="str">
        <f>CONCATENATE(VLOOKUP(A72,'PGY1'!$A$3:$AA$20, 18, FALSE), " / ", VLOOKUP(A72,'PGY1'!$A$3:$AA$20, 19, FALSE))</f>
        <v>AnUS / PSY</v>
      </c>
      <c r="E72" s="86" t="str">
        <f>VLOOKUP(A72, 'PGY1'!$A$3:$AA$20, 20, FALSE)</f>
        <v>M</v>
      </c>
      <c r="F72" s="87"/>
      <c r="G72" s="87"/>
      <c r="H72" s="88"/>
      <c r="I72" s="87"/>
      <c r="J72" s="87"/>
      <c r="K72" s="30"/>
      <c r="L72" s="30" t="s">
        <v>28</v>
      </c>
      <c r="M72" s="87"/>
      <c r="N72" s="87"/>
      <c r="O72" s="29"/>
      <c r="P72" s="87"/>
      <c r="Q72" s="87"/>
      <c r="R72" s="30" t="s">
        <v>60</v>
      </c>
      <c r="S72" s="30"/>
      <c r="T72" s="87"/>
      <c r="U72" s="87"/>
      <c r="V72" s="29"/>
      <c r="W72" s="87"/>
      <c r="X72" s="87"/>
      <c r="Y72" s="30"/>
      <c r="Z72" s="30"/>
      <c r="AA72" s="87"/>
      <c r="AB72" s="87"/>
      <c r="AC72" s="29"/>
      <c r="AD72" s="87"/>
      <c r="AE72" s="87"/>
      <c r="AF72" s="30" t="s">
        <v>60</v>
      </c>
      <c r="AG72" s="30" t="s">
        <v>60</v>
      </c>
    </row>
    <row r="73" spans="1:33" ht="13">
      <c r="A73" s="35" t="s">
        <v>188</v>
      </c>
      <c r="B73" s="36" t="s">
        <v>189</v>
      </c>
      <c r="C73" s="86" t="str">
        <f>VLOOKUP(A73, 'PGY1'!$A$3:$AA$20, 17, FALSE)</f>
        <v>MICU</v>
      </c>
      <c r="D73" s="37" t="str">
        <f>CONCATENATE(VLOOKUP(A73,'PGY1'!$A$3:$AA$20, 18, FALSE), " / ", VLOOKUP(A73,'PGY1'!$A$3:$AA$20, 19, FALSE))</f>
        <v>NICU / AnUS</v>
      </c>
      <c r="E73" s="86" t="str">
        <f>VLOOKUP(A73, 'PGY1'!$A$3:$AA$20, 20, FALSE)</f>
        <v>TH</v>
      </c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7"/>
      <c r="U73" s="87"/>
      <c r="V73" s="29"/>
      <c r="W73" s="87"/>
      <c r="X73" s="87"/>
      <c r="Y73" s="30" t="s">
        <v>54</v>
      </c>
      <c r="Z73" s="30" t="s">
        <v>26</v>
      </c>
      <c r="AA73" s="87"/>
      <c r="AB73" s="87"/>
      <c r="AC73" s="29"/>
      <c r="AD73" s="87"/>
      <c r="AE73" s="87"/>
      <c r="AF73" s="90"/>
      <c r="AG73" s="30"/>
    </row>
    <row r="74" spans="1:33" ht="13">
      <c r="A74" s="43" t="s">
        <v>78</v>
      </c>
      <c r="B74" s="36" t="s">
        <v>79</v>
      </c>
      <c r="C74" s="86" t="str">
        <f>VLOOKUP(A74, 'PGY2'!$A$3:$AA$20, 17, FALSE)</f>
        <v>Ortho</v>
      </c>
      <c r="D74" s="37" t="str">
        <f>CONCATENATE(VLOOKUP(A74,'PGY2'!$A$3:$AA$20, 18, FALSE), " / ", VLOOKUP(A74,'PGY2'!$A$3:$AA$20, 19, FALSE))</f>
        <v>BH/TH / AnUS</v>
      </c>
      <c r="E74" s="86" t="str">
        <f>VLOOKUP(A74, 'PGY2'!$A$3:$AA$20, 20, FALSE)</f>
        <v>BH/TH</v>
      </c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7"/>
      <c r="U74" s="87"/>
      <c r="V74" s="29"/>
      <c r="W74" s="87"/>
      <c r="X74" s="87"/>
      <c r="Y74" s="30"/>
      <c r="Z74" s="30" t="s">
        <v>54</v>
      </c>
      <c r="AA74" s="87"/>
      <c r="AB74" s="87"/>
      <c r="AC74" s="29"/>
      <c r="AD74" s="87"/>
      <c r="AE74" s="87"/>
      <c r="AF74" s="30" t="s">
        <v>54</v>
      </c>
      <c r="AG74" s="30"/>
    </row>
    <row r="75" spans="1:33" ht="13">
      <c r="A75" s="91" t="s">
        <v>190</v>
      </c>
      <c r="B75" s="92" t="s">
        <v>191</v>
      </c>
      <c r="C75" s="93" t="str">
        <f>VLOOKUP(A75, 'PGY3'!$A$3:$AA$20, 17, FALSE)</f>
        <v>ED</v>
      </c>
      <c r="D75" s="94" t="str">
        <f>CONCATENATE(VLOOKUP(A75,'PGY3'!$A$3:$AA$20, 18, FALSE), " / ", VLOOKUP(A75,'PGY3'!$A$3:$AA$20, 19, FALSE))</f>
        <v>Tox-SC / Tox-H</v>
      </c>
      <c r="E75" s="93" t="str">
        <f>VLOOKUP(A75, 'PGY3'!$A$3:$AA$20, 20, FALSE)</f>
        <v>V</v>
      </c>
      <c r="F75" s="95"/>
      <c r="G75" s="95"/>
      <c r="H75" s="96"/>
      <c r="I75" s="95"/>
      <c r="J75" s="95"/>
      <c r="K75" s="90"/>
      <c r="L75" s="90" t="s">
        <v>111</v>
      </c>
      <c r="M75" s="95"/>
      <c r="N75" s="95"/>
      <c r="O75" s="97"/>
      <c r="P75" s="95"/>
      <c r="Q75" s="95"/>
      <c r="R75" s="90"/>
      <c r="S75" s="90"/>
      <c r="T75" s="95"/>
      <c r="U75" s="95"/>
      <c r="V75" s="97"/>
      <c r="W75" s="95"/>
      <c r="X75" s="95"/>
      <c r="Y75" s="90"/>
      <c r="Z75" s="90"/>
      <c r="AA75" s="95"/>
      <c r="AB75" s="95"/>
      <c r="AC75" s="97"/>
      <c r="AD75" s="95"/>
      <c r="AE75" s="95"/>
      <c r="AF75" s="90"/>
      <c r="AG75" s="90"/>
    </row>
    <row r="76" spans="1:33" ht="13">
      <c r="A76" s="28" t="s">
        <v>192</v>
      </c>
      <c r="B76" s="36" t="s">
        <v>193</v>
      </c>
      <c r="C76" s="86" t="str">
        <f>VLOOKUP(A76, 'PGY3'!$A$3:$AA$20, 17, FALSE)</f>
        <v>PICU</v>
      </c>
      <c r="D76" s="37" t="str">
        <f>CONCATENATE(VLOOKUP(A76,'PGY3'!$A$3:$AA$20, 18, FALSE), " / ", VLOOKUP(A76,'PGY3'!$A$3:$AA$20, 19, FALSE))</f>
        <v>Tox-H / Tox-SC</v>
      </c>
      <c r="E76" s="86" t="str">
        <f>VLOOKUP(A76, 'PGY3'!$A$3:$AA$20, 20, FALSE)</f>
        <v>ED</v>
      </c>
      <c r="F76" s="87"/>
      <c r="G76" s="87"/>
      <c r="H76" s="88"/>
      <c r="I76" s="87"/>
      <c r="J76" s="87"/>
      <c r="K76" s="30" t="s">
        <v>111</v>
      </c>
      <c r="L76" s="30"/>
      <c r="M76" s="87"/>
      <c r="N76" s="87"/>
      <c r="O76" s="29"/>
      <c r="P76" s="87"/>
      <c r="Q76" s="87"/>
      <c r="R76" s="30" t="s">
        <v>111</v>
      </c>
      <c r="S76" s="30"/>
      <c r="T76" s="87"/>
      <c r="U76" s="87"/>
      <c r="V76" s="29"/>
      <c r="W76" s="87"/>
      <c r="X76" s="87"/>
      <c r="Y76" s="30"/>
      <c r="Z76" s="30"/>
      <c r="AA76" s="87"/>
      <c r="AB76" s="87"/>
      <c r="AC76" s="29"/>
      <c r="AD76" s="87"/>
      <c r="AE76" s="87"/>
      <c r="AF76" s="30"/>
      <c r="AG76" s="30"/>
    </row>
    <row r="77" spans="1:33" ht="13">
      <c r="A77" s="63" t="s">
        <v>194</v>
      </c>
      <c r="B77" s="36" t="s">
        <v>195</v>
      </c>
      <c r="C77" s="86" t="str">
        <f>VLOOKUP(A77, 'PGY3'!$A$3:$AA$20, 17, FALSE)</f>
        <v>ED</v>
      </c>
      <c r="D77" s="37" t="str">
        <f>CONCATENATE(VLOOKUP(A77,'PGY3'!$A$3:$AA$20, 18, FALSE), " / ", VLOOKUP(A77,'PGY3'!$A$3:$AA$20, 19, FALSE))</f>
        <v>PICU / Hand</v>
      </c>
      <c r="E77" s="86" t="str">
        <f>VLOOKUP(A77, 'PGY3'!$A$3:$AA$20, 20, FALSE)</f>
        <v>ED</v>
      </c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7"/>
      <c r="U77" s="87"/>
      <c r="V77" s="29"/>
      <c r="W77" s="87"/>
      <c r="X77" s="87"/>
      <c r="Y77" s="30" t="s">
        <v>111</v>
      </c>
      <c r="Z77" s="30"/>
      <c r="AA77" s="87"/>
      <c r="AB77" s="87"/>
      <c r="AC77" s="29"/>
      <c r="AD77" s="87"/>
      <c r="AE77" s="87"/>
      <c r="AF77" s="30" t="s">
        <v>111</v>
      </c>
      <c r="AG77" s="30"/>
    </row>
    <row r="78" spans="1:33" ht="13">
      <c r="A78" s="63" t="s">
        <v>196</v>
      </c>
      <c r="B78" s="36"/>
      <c r="C78" s="86"/>
      <c r="D78" s="37" t="s">
        <v>197</v>
      </c>
      <c r="E78" s="86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90" t="s">
        <v>111</v>
      </c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</row>
    <row r="79" spans="1:33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 ht="13">
      <c r="A80" s="8"/>
      <c r="B80" s="8"/>
      <c r="C80" s="8"/>
      <c r="D80" s="8"/>
      <c r="E80" s="8"/>
      <c r="F80" s="200" t="s">
        <v>198</v>
      </c>
      <c r="G80" s="201"/>
      <c r="H80" s="201"/>
      <c r="I80" s="201"/>
      <c r="J80" s="201"/>
      <c r="K80" s="201"/>
      <c r="L80" s="201"/>
      <c r="M80" s="201"/>
      <c r="N80" s="201"/>
      <c r="O80" s="202"/>
      <c r="P80" s="200" t="s">
        <v>199</v>
      </c>
      <c r="Q80" s="201"/>
      <c r="R80" s="201"/>
      <c r="S80" s="201"/>
      <c r="T80" s="201"/>
      <c r="U80" s="201"/>
      <c r="V80" s="201"/>
      <c r="W80" s="202"/>
      <c r="X80" s="200" t="s">
        <v>200</v>
      </c>
      <c r="Y80" s="201"/>
      <c r="Z80" s="201"/>
      <c r="AA80" s="201"/>
      <c r="AB80" s="201"/>
      <c r="AC80" s="201"/>
      <c r="AD80" s="201"/>
      <c r="AE80" s="202"/>
      <c r="AF80" s="8"/>
      <c r="AG80" s="8"/>
    </row>
    <row r="81" spans="1:33" ht="13">
      <c r="A81" s="8"/>
      <c r="B81" s="8"/>
      <c r="C81" s="8"/>
      <c r="D81" s="8"/>
      <c r="E81" s="8"/>
      <c r="F81" s="203" t="s">
        <v>201</v>
      </c>
      <c r="G81" s="197"/>
      <c r="H81" s="197"/>
      <c r="I81" s="197"/>
      <c r="J81" s="197"/>
      <c r="K81" s="197"/>
      <c r="L81" s="197"/>
      <c r="M81" s="197"/>
      <c r="N81" s="197"/>
      <c r="O81" s="198"/>
      <c r="P81" s="203" t="s">
        <v>201</v>
      </c>
      <c r="Q81" s="197"/>
      <c r="R81" s="197"/>
      <c r="S81" s="197"/>
      <c r="T81" s="197"/>
      <c r="U81" s="197"/>
      <c r="V81" s="197"/>
      <c r="W81" s="198"/>
      <c r="X81" s="203" t="s">
        <v>201</v>
      </c>
      <c r="Y81" s="197"/>
      <c r="Z81" s="197"/>
      <c r="AA81" s="197"/>
      <c r="AB81" s="197"/>
      <c r="AC81" s="197"/>
      <c r="AD81" s="197"/>
      <c r="AE81" s="198"/>
      <c r="AF81" s="8"/>
      <c r="AG81" s="8"/>
    </row>
    <row r="82" spans="1:33" ht="13">
      <c r="A82" s="8"/>
      <c r="B82" s="8"/>
      <c r="C82" s="8"/>
      <c r="D82" s="8"/>
      <c r="E82" s="8"/>
      <c r="F82" s="204" t="s">
        <v>202</v>
      </c>
      <c r="G82" s="197"/>
      <c r="H82" s="197"/>
      <c r="I82" s="197"/>
      <c r="J82" s="197"/>
      <c r="K82" s="197"/>
      <c r="L82" s="197"/>
      <c r="M82" s="197"/>
      <c r="N82" s="197"/>
      <c r="O82" s="198"/>
      <c r="P82" s="196" t="s">
        <v>203</v>
      </c>
      <c r="Q82" s="197"/>
      <c r="R82" s="197"/>
      <c r="S82" s="197"/>
      <c r="T82" s="197"/>
      <c r="U82" s="197"/>
      <c r="V82" s="197"/>
      <c r="W82" s="198"/>
      <c r="X82" s="199" t="s">
        <v>204</v>
      </c>
      <c r="Y82" s="197"/>
      <c r="Z82" s="197"/>
      <c r="AA82" s="197"/>
      <c r="AB82" s="197"/>
      <c r="AC82" s="197"/>
      <c r="AD82" s="197"/>
      <c r="AE82" s="198"/>
      <c r="AF82" s="8"/>
      <c r="AG82" s="8"/>
    </row>
    <row r="83" spans="1:33" ht="13">
      <c r="A83" s="8"/>
      <c r="B83" s="8"/>
      <c r="C83" s="8"/>
      <c r="D83" s="8"/>
      <c r="E83" s="8"/>
      <c r="F83" s="199" t="s">
        <v>205</v>
      </c>
      <c r="G83" s="197"/>
      <c r="H83" s="197"/>
      <c r="I83" s="197"/>
      <c r="J83" s="197"/>
      <c r="K83" s="197"/>
      <c r="L83" s="197"/>
      <c r="M83" s="197"/>
      <c r="N83" s="197"/>
      <c r="O83" s="198"/>
      <c r="P83" s="199" t="s">
        <v>206</v>
      </c>
      <c r="Q83" s="197"/>
      <c r="R83" s="197"/>
      <c r="S83" s="197"/>
      <c r="T83" s="197"/>
      <c r="U83" s="197"/>
      <c r="V83" s="197"/>
      <c r="W83" s="198"/>
      <c r="X83" s="199" t="s">
        <v>207</v>
      </c>
      <c r="Y83" s="197"/>
      <c r="Z83" s="197"/>
      <c r="AA83" s="197"/>
      <c r="AB83" s="197"/>
      <c r="AC83" s="197"/>
      <c r="AD83" s="197"/>
      <c r="AE83" s="198"/>
      <c r="AF83" s="8"/>
      <c r="AG83" s="8"/>
    </row>
    <row r="84" spans="1:33" ht="13">
      <c r="A84" s="8"/>
      <c r="B84" s="8"/>
      <c r="C84" s="8"/>
      <c r="D84" s="8"/>
      <c r="E84" s="8"/>
      <c r="F84" s="199" t="s">
        <v>208</v>
      </c>
      <c r="G84" s="197"/>
      <c r="H84" s="197"/>
      <c r="I84" s="197"/>
      <c r="J84" s="197"/>
      <c r="K84" s="197"/>
      <c r="L84" s="197"/>
      <c r="M84" s="197"/>
      <c r="N84" s="197"/>
      <c r="O84" s="198"/>
      <c r="P84" s="199" t="s">
        <v>209</v>
      </c>
      <c r="Q84" s="197"/>
      <c r="R84" s="197"/>
      <c r="S84" s="197"/>
      <c r="T84" s="197"/>
      <c r="U84" s="197"/>
      <c r="V84" s="197"/>
      <c r="W84" s="198"/>
      <c r="X84" s="205" t="s">
        <v>210</v>
      </c>
      <c r="Y84" s="197"/>
      <c r="Z84" s="197"/>
      <c r="AA84" s="197"/>
      <c r="AB84" s="197"/>
      <c r="AC84" s="197"/>
      <c r="AD84" s="197"/>
      <c r="AE84" s="198"/>
      <c r="AF84" s="8"/>
      <c r="AG84" s="8"/>
    </row>
    <row r="85" spans="1:33" ht="13">
      <c r="A85" s="8"/>
      <c r="B85" s="8"/>
      <c r="C85" s="8"/>
      <c r="D85" s="8"/>
      <c r="E85" s="8"/>
      <c r="F85" s="199" t="s">
        <v>211</v>
      </c>
      <c r="G85" s="197"/>
      <c r="H85" s="197"/>
      <c r="I85" s="197"/>
      <c r="J85" s="197"/>
      <c r="K85" s="197"/>
      <c r="L85" s="197"/>
      <c r="M85" s="197"/>
      <c r="N85" s="197"/>
      <c r="O85" s="198"/>
      <c r="P85" s="199" t="s">
        <v>212</v>
      </c>
      <c r="Q85" s="197"/>
      <c r="R85" s="197"/>
      <c r="S85" s="197"/>
      <c r="T85" s="197"/>
      <c r="U85" s="197"/>
      <c r="V85" s="197"/>
      <c r="W85" s="198"/>
      <c r="X85" s="199" t="s">
        <v>213</v>
      </c>
      <c r="Y85" s="197"/>
      <c r="Z85" s="197"/>
      <c r="AA85" s="197"/>
      <c r="AB85" s="197"/>
      <c r="AC85" s="197"/>
      <c r="AD85" s="197"/>
      <c r="AE85" s="198"/>
      <c r="AF85" s="99"/>
      <c r="AG85" s="8"/>
    </row>
    <row r="86" spans="1:33" ht="13">
      <c r="A86" s="8"/>
      <c r="B86" s="8"/>
      <c r="C86" s="8"/>
      <c r="D86" s="8"/>
      <c r="E86" s="8"/>
      <c r="F86" s="199" t="s">
        <v>214</v>
      </c>
      <c r="G86" s="197"/>
      <c r="H86" s="197"/>
      <c r="I86" s="197"/>
      <c r="J86" s="197"/>
      <c r="K86" s="197"/>
      <c r="L86" s="197"/>
      <c r="M86" s="197"/>
      <c r="N86" s="197"/>
      <c r="O86" s="198"/>
      <c r="P86" s="47" t="s">
        <v>215</v>
      </c>
      <c r="Q86" s="47"/>
      <c r="R86" s="47"/>
      <c r="S86" s="47"/>
      <c r="T86" s="47"/>
      <c r="U86" s="47"/>
      <c r="V86" s="47"/>
      <c r="W86" s="47"/>
      <c r="X86" s="199" t="s">
        <v>216</v>
      </c>
      <c r="Y86" s="197"/>
      <c r="Z86" s="197"/>
      <c r="AA86" s="197"/>
      <c r="AB86" s="197"/>
      <c r="AC86" s="197"/>
      <c r="AD86" s="197"/>
      <c r="AE86" s="198"/>
      <c r="AF86" s="8"/>
      <c r="AG86" s="8"/>
    </row>
    <row r="87" spans="1:33" ht="13">
      <c r="A87" s="8"/>
      <c r="B87" s="8"/>
      <c r="C87" s="8"/>
      <c r="D87" s="8"/>
      <c r="E87" s="8"/>
      <c r="F87" s="199" t="s">
        <v>217</v>
      </c>
      <c r="G87" s="197"/>
      <c r="H87" s="197"/>
      <c r="I87" s="197"/>
      <c r="J87" s="197"/>
      <c r="K87" s="197"/>
      <c r="L87" s="197"/>
      <c r="M87" s="197"/>
      <c r="N87" s="197"/>
      <c r="O87" s="198"/>
      <c r="P87" s="47" t="s">
        <v>218</v>
      </c>
      <c r="Q87" s="47"/>
      <c r="R87" s="47"/>
      <c r="S87" s="47"/>
      <c r="T87" s="47"/>
      <c r="U87" s="47"/>
      <c r="V87" s="47"/>
      <c r="W87" s="47"/>
      <c r="X87" s="199" t="s">
        <v>219</v>
      </c>
      <c r="Y87" s="197"/>
      <c r="Z87" s="197"/>
      <c r="AA87" s="197"/>
      <c r="AB87" s="197"/>
      <c r="AC87" s="197"/>
      <c r="AD87" s="197"/>
      <c r="AE87" s="198"/>
      <c r="AF87" s="8"/>
      <c r="AG87" s="8"/>
    </row>
    <row r="88" spans="1:33" ht="13">
      <c r="A88" s="8"/>
      <c r="B88" s="8"/>
      <c r="C88" s="8"/>
      <c r="D88" s="8"/>
      <c r="E88" s="8"/>
      <c r="F88" s="199" t="s">
        <v>220</v>
      </c>
      <c r="G88" s="197"/>
      <c r="H88" s="197"/>
      <c r="I88" s="197"/>
      <c r="J88" s="197"/>
      <c r="K88" s="197"/>
      <c r="L88" s="197"/>
      <c r="M88" s="197"/>
      <c r="N88" s="197"/>
      <c r="O88" s="198"/>
      <c r="P88" s="199" t="s">
        <v>221</v>
      </c>
      <c r="Q88" s="197"/>
      <c r="R88" s="197"/>
      <c r="S88" s="197"/>
      <c r="T88" s="197"/>
      <c r="U88" s="197"/>
      <c r="V88" s="197"/>
      <c r="W88" s="198"/>
      <c r="X88" s="199" t="s">
        <v>222</v>
      </c>
      <c r="Y88" s="197"/>
      <c r="Z88" s="197"/>
      <c r="AA88" s="197"/>
      <c r="AB88" s="197"/>
      <c r="AC88" s="197"/>
      <c r="AD88" s="197"/>
      <c r="AE88" s="198"/>
      <c r="AF88" s="8"/>
      <c r="AG88" s="8"/>
    </row>
    <row r="89" spans="1:33" ht="13">
      <c r="A89" s="8"/>
      <c r="B89" s="8"/>
      <c r="C89" s="8"/>
      <c r="D89" s="8"/>
      <c r="E89" s="8"/>
      <c r="F89" s="196" t="s">
        <v>223</v>
      </c>
      <c r="G89" s="197"/>
      <c r="H89" s="197"/>
      <c r="I89" s="197"/>
      <c r="J89" s="197"/>
      <c r="K89" s="197"/>
      <c r="L89" s="197"/>
      <c r="M89" s="197"/>
      <c r="N89" s="197"/>
      <c r="O89" s="198"/>
      <c r="P89" s="196" t="s">
        <v>224</v>
      </c>
      <c r="Q89" s="197"/>
      <c r="R89" s="197"/>
      <c r="S89" s="197"/>
      <c r="T89" s="197"/>
      <c r="U89" s="197"/>
      <c r="V89" s="197"/>
      <c r="W89" s="198"/>
      <c r="X89" s="47" t="s">
        <v>225</v>
      </c>
      <c r="Y89" s="47"/>
      <c r="Z89" s="47"/>
      <c r="AA89" s="47"/>
      <c r="AB89" s="47"/>
      <c r="AC89" s="47"/>
      <c r="AD89" s="47"/>
      <c r="AE89" s="47"/>
      <c r="AF89" s="8"/>
      <c r="AG89" s="8"/>
    </row>
    <row r="90" spans="1:33" ht="13">
      <c r="A90" s="8"/>
      <c r="B90" s="8"/>
      <c r="C90" s="8"/>
      <c r="D90" s="8"/>
      <c r="E90" s="8"/>
      <c r="F90" s="199" t="s">
        <v>226</v>
      </c>
      <c r="G90" s="197"/>
      <c r="H90" s="197"/>
      <c r="I90" s="197"/>
      <c r="J90" s="197"/>
      <c r="K90" s="197"/>
      <c r="L90" s="197"/>
      <c r="M90" s="197"/>
      <c r="N90" s="197"/>
      <c r="O90" s="198"/>
      <c r="P90" s="199" t="s">
        <v>227</v>
      </c>
      <c r="Q90" s="197"/>
      <c r="R90" s="197"/>
      <c r="S90" s="197"/>
      <c r="T90" s="197"/>
      <c r="U90" s="197"/>
      <c r="V90" s="197"/>
      <c r="W90" s="198"/>
      <c r="X90" s="206" t="s">
        <v>228</v>
      </c>
      <c r="Y90" s="197"/>
      <c r="Z90" s="197"/>
      <c r="AA90" s="197"/>
      <c r="AB90" s="197"/>
      <c r="AC90" s="197"/>
      <c r="AD90" s="197"/>
      <c r="AE90" s="198"/>
      <c r="AF90" s="8"/>
      <c r="AG90" s="8"/>
    </row>
    <row r="91" spans="1:33" ht="13">
      <c r="A91" s="8"/>
      <c r="B91" s="8"/>
      <c r="C91" s="8"/>
      <c r="D91" s="8"/>
      <c r="E91" s="8"/>
      <c r="F91" s="199" t="s">
        <v>229</v>
      </c>
      <c r="G91" s="197"/>
      <c r="H91" s="197"/>
      <c r="I91" s="197"/>
      <c r="J91" s="197"/>
      <c r="K91" s="197"/>
      <c r="L91" s="197"/>
      <c r="M91" s="197"/>
      <c r="N91" s="197"/>
      <c r="O91" s="198"/>
      <c r="P91" s="199" t="s">
        <v>230</v>
      </c>
      <c r="Q91" s="197"/>
      <c r="R91" s="197"/>
      <c r="S91" s="197"/>
      <c r="T91" s="197"/>
      <c r="U91" s="197"/>
      <c r="V91" s="197"/>
      <c r="W91" s="198"/>
      <c r="X91" s="207" t="s">
        <v>231</v>
      </c>
      <c r="Y91" s="197"/>
      <c r="Z91" s="197"/>
      <c r="AA91" s="197"/>
      <c r="AB91" s="197"/>
      <c r="AC91" s="197"/>
      <c r="AD91" s="197"/>
      <c r="AE91" s="198"/>
      <c r="AF91" s="8"/>
      <c r="AG91" s="8"/>
    </row>
    <row r="92" spans="1:33" ht="13">
      <c r="A92" s="8"/>
      <c r="B92" s="8"/>
      <c r="C92" s="8"/>
      <c r="D92" s="8"/>
      <c r="E92" s="8"/>
      <c r="F92" s="199" t="s">
        <v>232</v>
      </c>
      <c r="G92" s="197"/>
      <c r="H92" s="197"/>
      <c r="I92" s="197"/>
      <c r="J92" s="197"/>
      <c r="K92" s="197"/>
      <c r="L92" s="197"/>
      <c r="M92" s="197"/>
      <c r="N92" s="197"/>
      <c r="O92" s="198"/>
      <c r="P92" s="199" t="s">
        <v>233</v>
      </c>
      <c r="Q92" s="197"/>
      <c r="R92" s="197"/>
      <c r="S92" s="197"/>
      <c r="T92" s="197"/>
      <c r="U92" s="197"/>
      <c r="V92" s="197"/>
      <c r="W92" s="198"/>
      <c r="X92" s="207" t="s">
        <v>234</v>
      </c>
      <c r="Y92" s="197"/>
      <c r="Z92" s="197"/>
      <c r="AA92" s="197"/>
      <c r="AB92" s="197"/>
      <c r="AC92" s="197"/>
      <c r="AD92" s="197"/>
      <c r="AE92" s="198"/>
      <c r="AF92" s="8"/>
      <c r="AG92" s="8"/>
    </row>
    <row r="93" spans="1:33" ht="13">
      <c r="A93" s="8"/>
      <c r="B93" s="8"/>
      <c r="C93" s="8"/>
      <c r="D93" s="8"/>
      <c r="E93" s="8"/>
      <c r="F93" s="199" t="s">
        <v>235</v>
      </c>
      <c r="G93" s="197"/>
      <c r="H93" s="197"/>
      <c r="I93" s="197"/>
      <c r="J93" s="197"/>
      <c r="K93" s="197"/>
      <c r="L93" s="197"/>
      <c r="M93" s="197"/>
      <c r="N93" s="197"/>
      <c r="O93" s="198"/>
      <c r="P93" s="206" t="s">
        <v>228</v>
      </c>
      <c r="Q93" s="197"/>
      <c r="R93" s="197"/>
      <c r="S93" s="197"/>
      <c r="T93" s="197"/>
      <c r="U93" s="197"/>
      <c r="V93" s="197"/>
      <c r="W93" s="198"/>
      <c r="X93" s="207" t="s">
        <v>236</v>
      </c>
      <c r="Y93" s="197"/>
      <c r="Z93" s="197"/>
      <c r="AA93" s="197"/>
      <c r="AB93" s="197"/>
      <c r="AC93" s="197"/>
      <c r="AD93" s="197"/>
      <c r="AE93" s="198"/>
      <c r="AF93" s="8"/>
      <c r="AG93" s="8"/>
    </row>
    <row r="94" spans="1:33" ht="13">
      <c r="A94" s="8"/>
      <c r="B94" s="8"/>
      <c r="C94" s="8"/>
      <c r="D94" s="8"/>
      <c r="E94" s="8"/>
      <c r="F94" s="199" t="s">
        <v>237</v>
      </c>
      <c r="G94" s="197"/>
      <c r="H94" s="197"/>
      <c r="I94" s="197"/>
      <c r="J94" s="197"/>
      <c r="K94" s="197"/>
      <c r="L94" s="197"/>
      <c r="M94" s="197"/>
      <c r="N94" s="197"/>
      <c r="O94" s="198"/>
      <c r="P94" s="207" t="s">
        <v>238</v>
      </c>
      <c r="Q94" s="197"/>
      <c r="R94" s="197"/>
      <c r="S94" s="197"/>
      <c r="T94" s="197"/>
      <c r="U94" s="197"/>
      <c r="V94" s="197"/>
      <c r="W94" s="198"/>
      <c r="X94" s="207" t="s">
        <v>239</v>
      </c>
      <c r="Y94" s="197"/>
      <c r="Z94" s="197"/>
      <c r="AA94" s="197"/>
      <c r="AB94" s="197"/>
      <c r="AC94" s="197"/>
      <c r="AD94" s="197"/>
      <c r="AE94" s="198"/>
      <c r="AF94" s="8"/>
      <c r="AG94" s="8"/>
    </row>
    <row r="95" spans="1:33" ht="13">
      <c r="A95" s="8"/>
      <c r="B95" s="8"/>
      <c r="C95" s="8"/>
      <c r="D95" s="8"/>
      <c r="E95" s="8"/>
      <c r="F95" s="199" t="s">
        <v>240</v>
      </c>
      <c r="G95" s="197"/>
      <c r="H95" s="197"/>
      <c r="I95" s="197"/>
      <c r="J95" s="197"/>
      <c r="K95" s="197"/>
      <c r="L95" s="197"/>
      <c r="M95" s="197"/>
      <c r="N95" s="197"/>
      <c r="O95" s="198"/>
      <c r="P95" s="207" t="s">
        <v>241</v>
      </c>
      <c r="Q95" s="197"/>
      <c r="R95" s="197"/>
      <c r="S95" s="197"/>
      <c r="T95" s="197"/>
      <c r="U95" s="197"/>
      <c r="V95" s="197"/>
      <c r="W95" s="198"/>
      <c r="X95" s="207" t="s">
        <v>242</v>
      </c>
      <c r="Y95" s="197"/>
      <c r="Z95" s="197"/>
      <c r="AA95" s="197"/>
      <c r="AB95" s="197"/>
      <c r="AC95" s="197"/>
      <c r="AD95" s="197"/>
      <c r="AE95" s="198"/>
      <c r="AF95" s="8"/>
      <c r="AG95" s="8"/>
    </row>
    <row r="96" spans="1:33" ht="13">
      <c r="A96" s="8"/>
      <c r="B96" s="8"/>
      <c r="C96" s="8"/>
      <c r="D96" s="8"/>
      <c r="E96" s="8"/>
      <c r="F96" s="199" t="s">
        <v>243</v>
      </c>
      <c r="G96" s="197"/>
      <c r="H96" s="197"/>
      <c r="I96" s="197"/>
      <c r="J96" s="197"/>
      <c r="K96" s="197"/>
      <c r="L96" s="197"/>
      <c r="M96" s="197"/>
      <c r="N96" s="197"/>
      <c r="O96" s="198"/>
      <c r="P96" s="207" t="s">
        <v>244</v>
      </c>
      <c r="Q96" s="197"/>
      <c r="R96" s="197"/>
      <c r="S96" s="197"/>
      <c r="T96" s="197"/>
      <c r="U96" s="197"/>
      <c r="V96" s="197"/>
      <c r="W96" s="198"/>
      <c r="X96" s="199" t="s">
        <v>245</v>
      </c>
      <c r="Y96" s="197"/>
      <c r="Z96" s="197"/>
      <c r="AA96" s="197"/>
      <c r="AB96" s="197"/>
      <c r="AC96" s="197"/>
      <c r="AD96" s="197"/>
      <c r="AE96" s="198"/>
      <c r="AF96" s="8"/>
      <c r="AG96" s="8"/>
    </row>
    <row r="97" spans="1:33" ht="13">
      <c r="A97" s="8"/>
      <c r="B97" s="8"/>
      <c r="C97" s="8"/>
      <c r="D97" s="8"/>
      <c r="E97" s="8"/>
      <c r="F97" s="199" t="s">
        <v>246</v>
      </c>
      <c r="G97" s="197"/>
      <c r="H97" s="197"/>
      <c r="I97" s="197"/>
      <c r="J97" s="197"/>
      <c r="K97" s="197"/>
      <c r="L97" s="197"/>
      <c r="M97" s="197"/>
      <c r="N97" s="197"/>
      <c r="O97" s="198"/>
      <c r="P97" s="207" t="s">
        <v>247</v>
      </c>
      <c r="Q97" s="197"/>
      <c r="R97" s="197"/>
      <c r="S97" s="197"/>
      <c r="T97" s="197"/>
      <c r="U97" s="197"/>
      <c r="V97" s="197"/>
      <c r="W97" s="198"/>
      <c r="X97" s="199" t="s">
        <v>248</v>
      </c>
      <c r="Y97" s="197"/>
      <c r="Z97" s="197"/>
      <c r="AA97" s="197"/>
      <c r="AB97" s="197"/>
      <c r="AC97" s="197"/>
      <c r="AD97" s="197"/>
      <c r="AE97" s="198"/>
      <c r="AF97" s="8"/>
      <c r="AG97" s="8"/>
    </row>
    <row r="98" spans="1:33" ht="13">
      <c r="A98" s="8"/>
      <c r="B98" s="8"/>
      <c r="C98" s="8"/>
      <c r="D98" s="8"/>
      <c r="E98" s="8"/>
      <c r="F98" s="199" t="s">
        <v>249</v>
      </c>
      <c r="G98" s="197"/>
      <c r="H98" s="197"/>
      <c r="I98" s="197"/>
      <c r="J98" s="197"/>
      <c r="K98" s="197"/>
      <c r="L98" s="197"/>
      <c r="M98" s="197"/>
      <c r="N98" s="197"/>
      <c r="O98" s="198"/>
      <c r="P98" s="207" t="s">
        <v>250</v>
      </c>
      <c r="Q98" s="197"/>
      <c r="R98" s="197"/>
      <c r="S98" s="197"/>
      <c r="T98" s="197"/>
      <c r="U98" s="197"/>
      <c r="V98" s="197"/>
      <c r="W98" s="197"/>
      <c r="X98" s="199" t="s">
        <v>251</v>
      </c>
      <c r="Y98" s="197"/>
      <c r="Z98" s="197"/>
      <c r="AA98" s="197"/>
      <c r="AB98" s="197"/>
      <c r="AC98" s="197"/>
      <c r="AD98" s="197"/>
      <c r="AE98" s="198"/>
      <c r="AF98" s="8"/>
      <c r="AG98" s="8"/>
    </row>
    <row r="99" spans="1:33" ht="13">
      <c r="A99" s="8"/>
      <c r="B99" s="8"/>
      <c r="C99" s="8"/>
      <c r="D99" s="8"/>
      <c r="E99" s="8"/>
      <c r="F99" s="199" t="s">
        <v>252</v>
      </c>
      <c r="G99" s="197"/>
      <c r="H99" s="197"/>
      <c r="I99" s="197"/>
      <c r="J99" s="197"/>
      <c r="K99" s="197"/>
      <c r="L99" s="197"/>
      <c r="M99" s="197"/>
      <c r="N99" s="197"/>
      <c r="O99" s="198"/>
      <c r="P99" s="199" t="s">
        <v>245</v>
      </c>
      <c r="Q99" s="197"/>
      <c r="R99" s="197"/>
      <c r="S99" s="197"/>
      <c r="T99" s="197"/>
      <c r="U99" s="197"/>
      <c r="V99" s="197"/>
      <c r="W99" s="198"/>
      <c r="X99" s="199" t="s">
        <v>253</v>
      </c>
      <c r="Y99" s="197"/>
      <c r="Z99" s="197"/>
      <c r="AA99" s="197"/>
      <c r="AB99" s="197"/>
      <c r="AC99" s="197"/>
      <c r="AD99" s="197"/>
      <c r="AE99" s="198"/>
      <c r="AF99" s="8"/>
      <c r="AG99" s="8"/>
    </row>
    <row r="100" spans="1:33" ht="13">
      <c r="A100" s="8"/>
      <c r="B100" s="8"/>
      <c r="C100" s="8"/>
      <c r="D100" s="8"/>
      <c r="E100" s="8"/>
      <c r="F100" s="199" t="s">
        <v>254</v>
      </c>
      <c r="G100" s="197"/>
      <c r="H100" s="197"/>
      <c r="I100" s="197"/>
      <c r="J100" s="197"/>
      <c r="K100" s="197"/>
      <c r="L100" s="197"/>
      <c r="M100" s="197"/>
      <c r="N100" s="197"/>
      <c r="O100" s="198"/>
      <c r="P100" s="199" t="s">
        <v>255</v>
      </c>
      <c r="Q100" s="197"/>
      <c r="R100" s="197"/>
      <c r="S100" s="197"/>
      <c r="T100" s="197"/>
      <c r="U100" s="197"/>
      <c r="V100" s="197"/>
      <c r="W100" s="198"/>
      <c r="X100" s="213" t="s">
        <v>256</v>
      </c>
      <c r="Y100" s="197"/>
      <c r="Z100" s="197"/>
      <c r="AA100" s="197"/>
      <c r="AB100" s="197"/>
      <c r="AC100" s="197"/>
      <c r="AD100" s="197"/>
      <c r="AE100" s="198"/>
      <c r="AF100" s="8"/>
      <c r="AG100" s="8"/>
    </row>
    <row r="101" spans="1:33" ht="13">
      <c r="A101" s="8"/>
      <c r="B101" s="8"/>
      <c r="C101" s="8"/>
      <c r="D101" s="8"/>
      <c r="E101" s="8"/>
      <c r="F101" s="206" t="s">
        <v>228</v>
      </c>
      <c r="G101" s="197"/>
      <c r="H101" s="197"/>
      <c r="I101" s="197"/>
      <c r="J101" s="197"/>
      <c r="K101" s="197"/>
      <c r="L101" s="197"/>
      <c r="M101" s="197"/>
      <c r="N101" s="197"/>
      <c r="O101" s="198"/>
      <c r="P101" s="213" t="s">
        <v>257</v>
      </c>
      <c r="Q101" s="197"/>
      <c r="R101" s="197"/>
      <c r="S101" s="197"/>
      <c r="T101" s="197"/>
      <c r="U101" s="197"/>
      <c r="V101" s="197"/>
      <c r="W101" s="198"/>
      <c r="X101" s="199" t="s">
        <v>258</v>
      </c>
      <c r="Y101" s="197"/>
      <c r="Z101" s="197"/>
      <c r="AA101" s="197"/>
      <c r="AB101" s="197"/>
      <c r="AC101" s="197"/>
      <c r="AD101" s="197"/>
      <c r="AE101" s="198"/>
      <c r="AF101" s="8"/>
      <c r="AG101" s="8"/>
    </row>
    <row r="102" spans="1:33" ht="13">
      <c r="A102" s="8"/>
      <c r="B102" s="8"/>
      <c r="C102" s="8"/>
      <c r="D102" s="8"/>
      <c r="E102" s="8"/>
      <c r="F102" s="214" t="s">
        <v>259</v>
      </c>
      <c r="G102" s="197"/>
      <c r="H102" s="197"/>
      <c r="I102" s="197"/>
      <c r="J102" s="197"/>
      <c r="K102" s="197"/>
      <c r="L102" s="197"/>
      <c r="M102" s="197"/>
      <c r="N102" s="197"/>
      <c r="O102" s="198"/>
      <c r="P102" s="199" t="s">
        <v>260</v>
      </c>
      <c r="Q102" s="197"/>
      <c r="R102" s="197"/>
      <c r="S102" s="197"/>
      <c r="T102" s="197"/>
      <c r="U102" s="197"/>
      <c r="V102" s="197"/>
      <c r="W102" s="198"/>
      <c r="X102" s="207" t="s">
        <v>261</v>
      </c>
      <c r="Y102" s="197"/>
      <c r="Z102" s="197"/>
      <c r="AA102" s="197"/>
      <c r="AB102" s="197"/>
      <c r="AC102" s="197"/>
      <c r="AD102" s="197"/>
      <c r="AE102" s="198"/>
      <c r="AF102" s="8"/>
      <c r="AG102" s="8"/>
    </row>
    <row r="103" spans="1:33" ht="13">
      <c r="A103" s="8"/>
      <c r="B103" s="8"/>
      <c r="C103" s="8"/>
      <c r="D103" s="8"/>
      <c r="E103" s="8"/>
      <c r="F103" s="199" t="s">
        <v>262</v>
      </c>
      <c r="G103" s="197"/>
      <c r="H103" s="197"/>
      <c r="I103" s="197"/>
      <c r="J103" s="197"/>
      <c r="K103" s="197"/>
      <c r="L103" s="197"/>
      <c r="M103" s="197"/>
      <c r="N103" s="197"/>
      <c r="O103" s="198"/>
      <c r="P103" s="199" t="s">
        <v>263</v>
      </c>
      <c r="Q103" s="197"/>
      <c r="R103" s="197"/>
      <c r="S103" s="197"/>
      <c r="T103" s="197"/>
      <c r="U103" s="197"/>
      <c r="V103" s="197"/>
      <c r="W103" s="198"/>
      <c r="X103" s="199" t="s">
        <v>264</v>
      </c>
      <c r="Y103" s="197"/>
      <c r="Z103" s="197"/>
      <c r="AA103" s="197"/>
      <c r="AB103" s="197"/>
      <c r="AC103" s="197"/>
      <c r="AD103" s="197"/>
      <c r="AE103" s="198"/>
      <c r="AF103" s="8"/>
      <c r="AG103" s="8"/>
    </row>
    <row r="104" spans="1:33" ht="13">
      <c r="A104" s="8"/>
      <c r="B104" s="8"/>
      <c r="C104" s="8"/>
      <c r="D104" s="8"/>
      <c r="E104" s="8"/>
      <c r="F104" s="199" t="s">
        <v>265</v>
      </c>
      <c r="G104" s="197"/>
      <c r="H104" s="197"/>
      <c r="I104" s="197"/>
      <c r="J104" s="197"/>
      <c r="K104" s="197"/>
      <c r="L104" s="197"/>
      <c r="M104" s="197"/>
      <c r="N104" s="197"/>
      <c r="O104" s="198"/>
      <c r="P104" s="199" t="s">
        <v>266</v>
      </c>
      <c r="Q104" s="197"/>
      <c r="R104" s="197"/>
      <c r="S104" s="197"/>
      <c r="T104" s="197"/>
      <c r="U104" s="197"/>
      <c r="V104" s="197"/>
      <c r="W104" s="198"/>
      <c r="X104" s="199" t="s">
        <v>267</v>
      </c>
      <c r="Y104" s="197"/>
      <c r="Z104" s="197"/>
      <c r="AA104" s="197"/>
      <c r="AB104" s="197"/>
      <c r="AC104" s="197"/>
      <c r="AD104" s="197"/>
      <c r="AE104" s="198"/>
      <c r="AF104" s="8"/>
      <c r="AG104" s="8"/>
    </row>
    <row r="105" spans="1:33" ht="13">
      <c r="A105" s="8"/>
      <c r="B105" s="8"/>
      <c r="C105" s="8"/>
      <c r="D105" s="8"/>
      <c r="E105" s="8"/>
      <c r="F105" s="199" t="s">
        <v>268</v>
      </c>
      <c r="G105" s="197"/>
      <c r="H105" s="197"/>
      <c r="I105" s="197"/>
      <c r="J105" s="197"/>
      <c r="K105" s="197"/>
      <c r="L105" s="197"/>
      <c r="M105" s="197"/>
      <c r="N105" s="197"/>
      <c r="O105" s="198"/>
      <c r="P105" s="199" t="s">
        <v>269</v>
      </c>
      <c r="Q105" s="197"/>
      <c r="R105" s="197"/>
      <c r="S105" s="197"/>
      <c r="T105" s="197"/>
      <c r="U105" s="197"/>
      <c r="V105" s="197"/>
      <c r="W105" s="198"/>
      <c r="X105" s="199" t="s">
        <v>270</v>
      </c>
      <c r="Y105" s="197"/>
      <c r="Z105" s="197"/>
      <c r="AA105" s="197"/>
      <c r="AB105" s="197"/>
      <c r="AC105" s="197"/>
      <c r="AD105" s="197"/>
      <c r="AE105" s="198"/>
      <c r="AF105" s="8"/>
      <c r="AG105" s="8"/>
    </row>
    <row r="106" spans="1:33" ht="13">
      <c r="A106" s="8"/>
      <c r="B106" s="8"/>
      <c r="C106" s="8"/>
      <c r="D106" s="8"/>
      <c r="E106" s="8"/>
      <c r="F106" s="199" t="s">
        <v>271</v>
      </c>
      <c r="G106" s="197"/>
      <c r="H106" s="197"/>
      <c r="I106" s="197"/>
      <c r="J106" s="197"/>
      <c r="K106" s="197"/>
      <c r="L106" s="197"/>
      <c r="M106" s="197"/>
      <c r="N106" s="197"/>
      <c r="O106" s="198"/>
      <c r="P106" s="199" t="s">
        <v>272</v>
      </c>
      <c r="Q106" s="197"/>
      <c r="R106" s="197"/>
      <c r="S106" s="197"/>
      <c r="T106" s="197"/>
      <c r="U106" s="197"/>
      <c r="V106" s="197"/>
      <c r="W106" s="198"/>
      <c r="X106" s="199" t="s">
        <v>273</v>
      </c>
      <c r="Y106" s="197"/>
      <c r="Z106" s="197"/>
      <c r="AA106" s="197"/>
      <c r="AB106" s="197"/>
      <c r="AC106" s="197"/>
      <c r="AD106" s="197"/>
      <c r="AE106" s="198"/>
      <c r="AF106" s="8"/>
      <c r="AG106" s="8"/>
    </row>
    <row r="107" spans="1:33" ht="13">
      <c r="A107" s="8"/>
      <c r="B107" s="8"/>
      <c r="C107" s="8"/>
      <c r="D107" s="8"/>
      <c r="E107" s="8"/>
      <c r="F107" s="209" t="s">
        <v>274</v>
      </c>
      <c r="G107" s="197"/>
      <c r="H107" s="197"/>
      <c r="I107" s="197"/>
      <c r="J107" s="197"/>
      <c r="K107" s="197"/>
      <c r="L107" s="197"/>
      <c r="M107" s="197"/>
      <c r="N107" s="197"/>
      <c r="O107" s="198"/>
      <c r="P107" s="199" t="s">
        <v>275</v>
      </c>
      <c r="Q107" s="197"/>
      <c r="R107" s="197"/>
      <c r="S107" s="197"/>
      <c r="T107" s="197"/>
      <c r="U107" s="197"/>
      <c r="V107" s="197"/>
      <c r="W107" s="198"/>
      <c r="X107" s="210" t="s">
        <v>276</v>
      </c>
      <c r="Y107" s="211"/>
      <c r="Z107" s="211"/>
      <c r="AA107" s="211"/>
      <c r="AB107" s="211"/>
      <c r="AC107" s="211"/>
      <c r="AD107" s="211"/>
      <c r="AE107" s="212"/>
      <c r="AF107" s="8"/>
      <c r="AG107" s="8"/>
    </row>
    <row r="108" spans="1:33" ht="13">
      <c r="A108" s="8"/>
      <c r="B108" s="8"/>
      <c r="C108" s="8"/>
      <c r="D108" s="8"/>
      <c r="E108" s="8"/>
      <c r="F108" s="199" t="s">
        <v>277</v>
      </c>
      <c r="G108" s="197"/>
      <c r="H108" s="197"/>
      <c r="I108" s="197"/>
      <c r="J108" s="197"/>
      <c r="K108" s="197"/>
      <c r="L108" s="197"/>
      <c r="M108" s="197"/>
      <c r="N108" s="197"/>
      <c r="O108" s="198"/>
      <c r="P108" s="208" t="s">
        <v>278</v>
      </c>
      <c r="Q108" s="197"/>
      <c r="R108" s="197"/>
      <c r="S108" s="197"/>
      <c r="T108" s="197"/>
      <c r="U108" s="197"/>
      <c r="V108" s="197"/>
      <c r="W108" s="198"/>
      <c r="X108" s="199" t="s">
        <v>279</v>
      </c>
      <c r="Y108" s="197"/>
      <c r="Z108" s="197"/>
      <c r="AA108" s="197"/>
      <c r="AB108" s="197"/>
      <c r="AC108" s="197"/>
      <c r="AD108" s="197"/>
      <c r="AE108" s="198"/>
      <c r="AF108" s="8"/>
      <c r="AG108" s="8"/>
    </row>
    <row r="109" spans="1:33" ht="13">
      <c r="A109" s="8"/>
      <c r="B109" s="8"/>
      <c r="C109" s="8"/>
      <c r="D109" s="8"/>
      <c r="E109" s="8"/>
      <c r="F109" s="199" t="s">
        <v>280</v>
      </c>
      <c r="G109" s="197"/>
      <c r="H109" s="197"/>
      <c r="I109" s="197"/>
      <c r="J109" s="197"/>
      <c r="K109" s="197"/>
      <c r="L109" s="197"/>
      <c r="M109" s="197"/>
      <c r="N109" s="197"/>
      <c r="O109" s="198"/>
      <c r="P109" s="98" t="s">
        <v>281</v>
      </c>
      <c r="Q109" s="47"/>
      <c r="R109" s="47"/>
      <c r="S109" s="47"/>
      <c r="T109" s="47"/>
      <c r="U109" s="47"/>
      <c r="V109" s="47"/>
      <c r="W109" s="101"/>
      <c r="X109" s="199" t="s">
        <v>282</v>
      </c>
      <c r="Y109" s="197"/>
      <c r="Z109" s="197"/>
      <c r="AA109" s="197"/>
      <c r="AB109" s="197"/>
      <c r="AC109" s="197"/>
      <c r="AD109" s="197"/>
      <c r="AE109" s="198"/>
      <c r="AF109" s="8"/>
      <c r="AG109" s="8"/>
    </row>
    <row r="110" spans="1:33" ht="13">
      <c r="A110" s="8"/>
      <c r="B110" s="8"/>
      <c r="C110" s="8"/>
      <c r="D110" s="8"/>
      <c r="E110" s="8"/>
      <c r="F110" s="196" t="s">
        <v>224</v>
      </c>
      <c r="G110" s="197"/>
      <c r="H110" s="197"/>
      <c r="I110" s="197"/>
      <c r="J110" s="197"/>
      <c r="K110" s="197"/>
      <c r="L110" s="197"/>
      <c r="M110" s="197"/>
      <c r="N110" s="197"/>
      <c r="O110" s="198"/>
      <c r="P110" s="98" t="s">
        <v>283</v>
      </c>
      <c r="Q110" s="47"/>
      <c r="R110" s="47"/>
      <c r="S110" s="47"/>
      <c r="T110" s="47"/>
      <c r="U110" s="47"/>
      <c r="V110" s="47"/>
      <c r="W110" s="101"/>
      <c r="X110" s="199" t="s">
        <v>284</v>
      </c>
      <c r="Y110" s="197"/>
      <c r="Z110" s="197"/>
      <c r="AA110" s="197"/>
      <c r="AB110" s="197"/>
      <c r="AC110" s="197"/>
      <c r="AD110" s="197"/>
      <c r="AE110" s="198"/>
      <c r="AF110" s="8"/>
      <c r="AG110" s="8"/>
    </row>
    <row r="111" spans="1:33" ht="13">
      <c r="A111" s="8"/>
      <c r="B111" s="8"/>
      <c r="C111" s="8"/>
      <c r="D111" s="8"/>
      <c r="E111" s="8"/>
      <c r="F111" s="199" t="s">
        <v>285</v>
      </c>
      <c r="G111" s="197"/>
      <c r="H111" s="197"/>
      <c r="I111" s="197"/>
      <c r="J111" s="197"/>
      <c r="K111" s="197"/>
      <c r="L111" s="197"/>
      <c r="M111" s="197"/>
      <c r="N111" s="197"/>
      <c r="O111" s="198"/>
      <c r="P111" s="98" t="s">
        <v>286</v>
      </c>
      <c r="Q111" s="47"/>
      <c r="R111" s="47"/>
      <c r="S111" s="47"/>
      <c r="T111" s="47"/>
      <c r="U111" s="47"/>
      <c r="V111" s="47"/>
      <c r="W111" s="101"/>
      <c r="X111" s="215" t="s">
        <v>287</v>
      </c>
      <c r="Y111" s="197"/>
      <c r="Z111" s="197"/>
      <c r="AA111" s="197"/>
      <c r="AB111" s="197"/>
      <c r="AC111" s="197"/>
      <c r="AD111" s="197"/>
      <c r="AE111" s="198"/>
      <c r="AF111" s="8"/>
      <c r="AG111" s="8"/>
    </row>
    <row r="112" spans="1:33" ht="13">
      <c r="A112" s="8"/>
      <c r="B112" s="8"/>
      <c r="C112" s="8"/>
      <c r="D112" s="8"/>
      <c r="E112" s="8"/>
      <c r="F112" s="199" t="s">
        <v>288</v>
      </c>
      <c r="G112" s="197"/>
      <c r="H112" s="197"/>
      <c r="I112" s="197"/>
      <c r="J112" s="197"/>
      <c r="K112" s="197"/>
      <c r="L112" s="197"/>
      <c r="M112" s="197"/>
      <c r="N112" s="197"/>
      <c r="O112" s="198"/>
      <c r="P112" s="100" t="s">
        <v>289</v>
      </c>
      <c r="Q112" s="102"/>
      <c r="R112" s="102"/>
      <c r="S112" s="102"/>
      <c r="T112" s="102"/>
      <c r="U112" s="102"/>
      <c r="V112" s="102"/>
      <c r="W112" s="103"/>
      <c r="X112" s="47" t="s">
        <v>281</v>
      </c>
      <c r="Y112" s="47"/>
      <c r="Z112" s="47"/>
      <c r="AA112" s="47"/>
      <c r="AB112" s="47"/>
      <c r="AC112" s="47"/>
      <c r="AD112" s="47"/>
      <c r="AE112" s="101"/>
      <c r="AF112" s="8"/>
      <c r="AG112" s="8"/>
    </row>
    <row r="113" spans="1:33" ht="13">
      <c r="A113" s="8"/>
      <c r="B113" s="8"/>
      <c r="C113" s="8"/>
      <c r="D113" s="8"/>
      <c r="E113" s="8"/>
      <c r="F113" s="199" t="s">
        <v>290</v>
      </c>
      <c r="G113" s="197"/>
      <c r="H113" s="197"/>
      <c r="I113" s="197"/>
      <c r="J113" s="197"/>
      <c r="K113" s="197"/>
      <c r="L113" s="197"/>
      <c r="M113" s="197"/>
      <c r="N113" s="197"/>
      <c r="O113" s="198"/>
      <c r="P113" s="47"/>
      <c r="Q113" s="47"/>
      <c r="R113" s="47"/>
      <c r="S113" s="47"/>
      <c r="T113" s="47"/>
      <c r="U113" s="47"/>
      <c r="V113" s="47"/>
      <c r="W113" s="47"/>
      <c r="X113" s="47" t="s">
        <v>283</v>
      </c>
      <c r="Y113" s="47"/>
      <c r="Z113" s="47"/>
      <c r="AA113" s="47"/>
      <c r="AB113" s="47"/>
      <c r="AC113" s="47"/>
      <c r="AD113" s="47"/>
      <c r="AE113" s="101"/>
      <c r="AF113" s="8"/>
      <c r="AG113" s="8"/>
    </row>
    <row r="114" spans="1:33" ht="13">
      <c r="A114" s="8"/>
      <c r="B114" s="8"/>
      <c r="C114" s="8"/>
      <c r="D114" s="8"/>
      <c r="E114" s="8"/>
      <c r="F114" s="213" t="s">
        <v>291</v>
      </c>
      <c r="G114" s="197"/>
      <c r="H114" s="197"/>
      <c r="I114" s="197"/>
      <c r="J114" s="197"/>
      <c r="K114" s="197"/>
      <c r="L114" s="197"/>
      <c r="M114" s="197"/>
      <c r="N114" s="197"/>
      <c r="O114" s="198"/>
      <c r="P114" s="47"/>
      <c r="Q114" s="47"/>
      <c r="R114" s="47"/>
      <c r="S114" s="47"/>
      <c r="T114" s="47"/>
      <c r="U114" s="47"/>
      <c r="V114" s="47"/>
      <c r="W114" s="47"/>
      <c r="X114" s="47" t="s">
        <v>286</v>
      </c>
      <c r="Y114" s="47"/>
      <c r="Z114" s="47"/>
      <c r="AA114" s="47"/>
      <c r="AB114" s="47"/>
      <c r="AC114" s="47"/>
      <c r="AD114" s="47"/>
      <c r="AE114" s="101"/>
      <c r="AF114" s="8"/>
      <c r="AG114" s="8"/>
    </row>
    <row r="115" spans="1:33" ht="13">
      <c r="A115" s="8"/>
      <c r="B115" s="8"/>
      <c r="C115" s="8"/>
      <c r="D115" s="8"/>
      <c r="E115" s="8"/>
      <c r="F115" s="199" t="s">
        <v>292</v>
      </c>
      <c r="G115" s="197"/>
      <c r="H115" s="197"/>
      <c r="I115" s="197"/>
      <c r="J115" s="197"/>
      <c r="K115" s="197"/>
      <c r="L115" s="197"/>
      <c r="M115" s="197"/>
      <c r="N115" s="197"/>
      <c r="O115" s="198"/>
      <c r="P115" s="47"/>
      <c r="Q115" s="47"/>
      <c r="R115" s="47"/>
      <c r="S115" s="47"/>
      <c r="T115" s="47"/>
      <c r="U115" s="47"/>
      <c r="V115" s="47"/>
      <c r="W115" s="47"/>
      <c r="X115" s="102" t="s">
        <v>289</v>
      </c>
      <c r="Y115" s="102"/>
      <c r="Z115" s="102"/>
      <c r="AA115" s="102"/>
      <c r="AB115" s="102"/>
      <c r="AC115" s="102"/>
      <c r="AD115" s="102"/>
      <c r="AE115" s="103"/>
      <c r="AF115" s="8"/>
      <c r="AG115" s="8"/>
    </row>
    <row r="116" spans="1:33" ht="13">
      <c r="A116" s="8"/>
      <c r="B116" s="8"/>
      <c r="C116" s="8"/>
      <c r="D116" s="8"/>
      <c r="E116" s="8"/>
      <c r="F116" s="210" t="s">
        <v>293</v>
      </c>
      <c r="G116" s="211"/>
      <c r="H116" s="211"/>
      <c r="I116" s="211"/>
      <c r="J116" s="211"/>
      <c r="K116" s="211"/>
      <c r="L116" s="211"/>
      <c r="M116" s="211"/>
      <c r="N116" s="211"/>
      <c r="O116" s="212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8"/>
      <c r="AG116" s="8"/>
    </row>
    <row r="117" spans="1:33" ht="13">
      <c r="A117" s="8"/>
      <c r="B117" s="8"/>
      <c r="C117" s="8"/>
      <c r="D117" s="8"/>
      <c r="E117" s="8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8"/>
      <c r="AG117" s="8"/>
    </row>
    <row r="118" spans="1:33" ht="13">
      <c r="A118" s="8"/>
      <c r="B118" s="8"/>
      <c r="C118" s="8"/>
      <c r="D118" s="8"/>
      <c r="E118" s="8"/>
      <c r="F118" s="8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8"/>
      <c r="AG118" s="8"/>
    </row>
    <row r="119" spans="1:33" ht="13">
      <c r="A119" s="8"/>
      <c r="B119" s="8"/>
      <c r="C119" s="8"/>
      <c r="D119" s="8"/>
      <c r="E119" s="8"/>
      <c r="F119" s="8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8"/>
      <c r="AG119" s="8"/>
    </row>
    <row r="120" spans="1:33" ht="13">
      <c r="A120" s="8"/>
      <c r="B120" s="8"/>
      <c r="C120" s="9"/>
      <c r="D120" s="9"/>
      <c r="E120" s="8"/>
      <c r="F120" s="8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8"/>
      <c r="AG120" s="8"/>
    </row>
    <row r="121" spans="1:33" ht="13">
      <c r="A121" s="8"/>
      <c r="B121" s="8"/>
      <c r="C121" s="9"/>
      <c r="D121" s="9"/>
      <c r="E121" s="8"/>
      <c r="F121" s="8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8"/>
      <c r="AG121" s="8"/>
    </row>
    <row r="122" spans="1:33" ht="13">
      <c r="A122" s="8"/>
      <c r="B122" s="8"/>
      <c r="C122" s="9"/>
      <c r="D122" s="9"/>
      <c r="E122" s="8"/>
      <c r="F122" s="8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8"/>
      <c r="AG122" s="8"/>
    </row>
  </sheetData>
  <mergeCells count="95">
    <mergeCell ref="X109:AE109"/>
    <mergeCell ref="F110:O110"/>
    <mergeCell ref="X110:AE110"/>
    <mergeCell ref="F111:O111"/>
    <mergeCell ref="X111:AE111"/>
    <mergeCell ref="F113:O113"/>
    <mergeCell ref="F114:O114"/>
    <mergeCell ref="F115:O115"/>
    <mergeCell ref="F116:O116"/>
    <mergeCell ref="F109:O109"/>
    <mergeCell ref="F112:O112"/>
    <mergeCell ref="P102:W102"/>
    <mergeCell ref="X102:AE102"/>
    <mergeCell ref="F100:O100"/>
    <mergeCell ref="P100:W100"/>
    <mergeCell ref="X100:AE100"/>
    <mergeCell ref="F101:O101"/>
    <mergeCell ref="P101:W101"/>
    <mergeCell ref="X101:AE101"/>
    <mergeCell ref="F102:O102"/>
    <mergeCell ref="P99:W99"/>
    <mergeCell ref="X99:AE99"/>
    <mergeCell ref="F97:O97"/>
    <mergeCell ref="P97:W97"/>
    <mergeCell ref="X97:AE97"/>
    <mergeCell ref="F98:O98"/>
    <mergeCell ref="P98:W98"/>
    <mergeCell ref="X98:AE98"/>
    <mergeCell ref="F99:O99"/>
    <mergeCell ref="X94:AE94"/>
    <mergeCell ref="F95:O95"/>
    <mergeCell ref="P95:W95"/>
    <mergeCell ref="X95:AE95"/>
    <mergeCell ref="F96:O96"/>
    <mergeCell ref="P108:W108"/>
    <mergeCell ref="X108:AE108"/>
    <mergeCell ref="F106:O106"/>
    <mergeCell ref="P106:W106"/>
    <mergeCell ref="X106:AE106"/>
    <mergeCell ref="F107:O107"/>
    <mergeCell ref="P107:W107"/>
    <mergeCell ref="X107:AE107"/>
    <mergeCell ref="F108:O108"/>
    <mergeCell ref="F93:O93"/>
    <mergeCell ref="P93:W93"/>
    <mergeCell ref="X93:AE93"/>
    <mergeCell ref="P105:W105"/>
    <mergeCell ref="X105:AE105"/>
    <mergeCell ref="F103:O103"/>
    <mergeCell ref="P103:W103"/>
    <mergeCell ref="X103:AE103"/>
    <mergeCell ref="F104:O104"/>
    <mergeCell ref="P104:W104"/>
    <mergeCell ref="X104:AE104"/>
    <mergeCell ref="F105:O105"/>
    <mergeCell ref="P96:W96"/>
    <mergeCell ref="X96:AE96"/>
    <mergeCell ref="F94:O94"/>
    <mergeCell ref="P94:W94"/>
    <mergeCell ref="P91:W91"/>
    <mergeCell ref="X91:AE91"/>
    <mergeCell ref="F91:O91"/>
    <mergeCell ref="F92:O92"/>
    <mergeCell ref="P92:W92"/>
    <mergeCell ref="X92:AE92"/>
    <mergeCell ref="F89:O89"/>
    <mergeCell ref="P89:W89"/>
    <mergeCell ref="F90:O90"/>
    <mergeCell ref="P90:W90"/>
    <mergeCell ref="X90:AE90"/>
    <mergeCell ref="F86:O86"/>
    <mergeCell ref="X86:AE86"/>
    <mergeCell ref="F87:O87"/>
    <mergeCell ref="X87:AE87"/>
    <mergeCell ref="F88:O88"/>
    <mergeCell ref="P88:W88"/>
    <mergeCell ref="X88:AE88"/>
    <mergeCell ref="P85:W85"/>
    <mergeCell ref="X85:AE85"/>
    <mergeCell ref="F83:O83"/>
    <mergeCell ref="P83:W83"/>
    <mergeCell ref="X83:AE83"/>
    <mergeCell ref="F84:O84"/>
    <mergeCell ref="P84:W84"/>
    <mergeCell ref="X84:AE84"/>
    <mergeCell ref="F85:O85"/>
    <mergeCell ref="P82:W82"/>
    <mergeCell ref="X82:AE82"/>
    <mergeCell ref="F80:O80"/>
    <mergeCell ref="P80:W80"/>
    <mergeCell ref="X80:AE80"/>
    <mergeCell ref="F81:O81"/>
    <mergeCell ref="P81:W81"/>
    <mergeCell ref="X81:AE81"/>
    <mergeCell ref="F82:O82"/>
  </mergeCells>
  <conditionalFormatting sqref="F41:G41 F43:G43 F45:G46 K47:M47 J48:J50 J52:J58 AD52:AD66 U52:U67 J60:J69 AD68:AE69 U69 Y76:Y78 P39:AG42 P44:AG50 P43:V43 X43:AG43 F19:AG22 F24:AG26 X23:AG23 F37:AG37 F36:V36 X36:AG36 F23:U23 F28:AG35">
    <cfRule type="cellIs" dxfId="94" priority="30" operator="equal">
      <formula>"PT2"</formula>
    </cfRule>
  </conditionalFormatting>
  <conditionalFormatting sqref="F41:G41 F43:G43 F45:G46 K47:M47 AD47 J48:J50 Q48:Q50 T52:T57 J52:J58 AD52:AD66 U52:U67 T59:T69 J60:J69 AD68:AD69 U69 Y76:Y78 W39:X42 W44:X50 X43 W19:X22 W24:X26 X23 W37:X37 X36 W28:X35 V5:V22 V24:V78">
    <cfRule type="cellIs" dxfId="93" priority="42" operator="equal">
      <formula>"WC"</formula>
    </cfRule>
  </conditionalFormatting>
  <conditionalFormatting sqref="F41:G41 K41:L41 F43:G43 K43:L43 F45:G46 K47:M47 T47:U47 X47 AD47 J48:J50 Q48:Q50 T52:T57 J52:J58 AD52:AD66 U52:U67 F52:I69 K52:S69 AE52:AG69 T59:T69 J60:J69 AD68:AD69 U69 Y76:Y78 V52:AC69">
    <cfRule type="cellIs" dxfId="92" priority="24" operator="equal">
      <formula>"D2a"</formula>
    </cfRule>
    <cfRule type="cellIs" dxfId="91" priority="26" operator="equal">
      <formula>"DT"</formula>
    </cfRule>
    <cfRule type="cellIs" dxfId="90" priority="35" operator="equal">
      <formula>"PB4"</formula>
    </cfRule>
    <cfRule type="cellIs" dxfId="89" priority="37" operator="equal">
      <formula>"PT4"</formula>
    </cfRule>
    <cfRule type="cellIs" dxfId="88" priority="38" operator="equal">
      <formula>"PB4"</formula>
    </cfRule>
    <cfRule type="cellIs" dxfId="87" priority="39" operator="equal">
      <formula>"TT"</formula>
    </cfRule>
    <cfRule type="cellIs" dxfId="86" priority="40" operator="equal">
      <formula>"PB8"</formula>
    </cfRule>
    <cfRule type="cellIs" dxfId="85" priority="41" operator="equal">
      <formula>"C"</formula>
    </cfRule>
    <cfRule type="cellIs" dxfId="84" priority="45" operator="equal">
      <formula>"D5a"</formula>
    </cfRule>
    <cfRule type="cellIs" dxfId="83" priority="46" operator="equal">
      <formula>"D4a"</formula>
    </cfRule>
    <cfRule type="cellIs" dxfId="82" priority="47" operator="equal">
      <formula>"R4"</formula>
    </cfRule>
    <cfRule type="cellIs" dxfId="81" priority="52" operator="equal">
      <formula>"PT8"</formula>
    </cfRule>
    <cfRule type="cellIs" dxfId="80" priority="53" operator="equal">
      <formula>"TF"</formula>
    </cfRule>
    <cfRule type="cellIs" dxfId="79" priority="54" operator="equal">
      <formula>"I"</formula>
    </cfRule>
  </conditionalFormatting>
  <conditionalFormatting sqref="F41:G41 K41:L41 F43:G43 K43:L43 F45:G46 K47:M47 J48:J50 Y76:Y78 F52:AG69 P39:AG42 P44:AG50 P43:V43 X43:AG43 P19:AG22 P24:AG26 X23:AG23 P37:AG37 P36:V36 X36:AG36 P23:U23 P28:AG35">
    <cfRule type="cellIs" dxfId="78" priority="32" operator="equal">
      <formula>"PB2"</formula>
    </cfRule>
  </conditionalFormatting>
  <conditionalFormatting sqref="F5:J17 M5:N17 P5:Q17 T5:U17 W5:X17 AA5:AB17 AD5:AE17 K5:L78 O5:O78 R5:S78 Y5:Z78 AC5:AC78 AF5:AG78 F19:J26 M19:N26 P19:Q26 T19:U26 AA19:AB26 AD19:AE26 F28:J37 M28:N37 P28:Q37 T28:U37 AA28:AB37 AD28:AE37 F39:J50 M39:N50 P39:Q50 T39:U50 AA39:AB50 AD39:AE50 F52:G69 I52:J69 M52:N69 P52:Q69 T52:U69 W52:X69 AA52:AB69 AD52:AE69 H52:H78 F71:G78 I71:J78 M71:N78 P71:Q78 T71:U78 W71:X78 AA71:AB78 AD71:AE78 W39:X42 W44:X50 X43 W19:X22 W24:X26 X23 W37:X37 X36 W28:X35 V5:V22 V24:V78">
    <cfRule type="cellIs" dxfId="77" priority="44" operator="equal">
      <formula>"K2b"</formula>
    </cfRule>
  </conditionalFormatting>
  <conditionalFormatting sqref="F5:J17 M5:N17 P5:Q17 T5:U17 W5:X17 AA5:AB17 AD5:AE17 K5:L78 O5:O78 R5:S78 Y5:Z78 AC5:AC78 AF5:AG78 F19:J26 M19:N26 P19:Q26 T19:U26 AA19:AB26 AD19:AE26 F28:J37 M28:N37 P28:Q37 T28:U37 AA28:AB37 AD28:AE37 F39:J50 M39:N50 P39:Q50 T39:U50 AA39:AB50 AD39:AE50 F52:G69 I52:J69 M52:N69 P52:Q69 T52:U69 W52:X69 AA52:AB69 AD52:AE69 H52:H78 F72:G75 I72:J75 M72:N75 P72:Q75 T78:U78 W78:X78 AA78:AB78 AD78:AE78 W39:X42 W44:X50 X43 W19:X22 W24:X26 X23 W37:X37 W28:X35 X36 V5:V22 V24:V78">
    <cfRule type="cellIs" dxfId="76" priority="49" operator="equal">
      <formula>"T1p"</formula>
    </cfRule>
    <cfRule type="containsText" dxfId="75" priority="51" operator="containsText" text="B10">
      <formula>NOT(ISERROR(SEARCH(("B10"),(F5))))</formula>
    </cfRule>
    <cfRule type="cellIs" dxfId="74" priority="55" operator="equal">
      <formula>"D1"</formula>
    </cfRule>
    <cfRule type="cellIs" dxfId="73" priority="56" operator="equal">
      <formula>"D2"</formula>
    </cfRule>
    <cfRule type="cellIs" dxfId="72" priority="57" operator="equal">
      <formula>"D3"</formula>
    </cfRule>
    <cfRule type="cellIs" dxfId="71" priority="58" operator="equal">
      <formula>"D1a"</formula>
    </cfRule>
    <cfRule type="cellIs" dxfId="70" priority="59" operator="equal">
      <formula>"D3p"</formula>
    </cfRule>
    <cfRule type="cellIs" dxfId="69" priority="60" operator="equal">
      <formula>"D4a"</formula>
    </cfRule>
    <cfRule type="cellIs" dxfId="68" priority="61" operator="equal">
      <formula>"D2p"</formula>
    </cfRule>
    <cfRule type="cellIs" dxfId="67" priority="62" operator="equal">
      <formula>"D5"</formula>
    </cfRule>
    <cfRule type="cellIs" dxfId="66" priority="63" operator="equal">
      <formula>"D4"</formula>
    </cfRule>
    <cfRule type="cellIs" dxfId="65" priority="68" operator="equal">
      <formula>"D2a"</formula>
    </cfRule>
    <cfRule type="cellIs" dxfId="64" priority="69" operator="equal">
      <formula>"D2b"</formula>
    </cfRule>
  </conditionalFormatting>
  <conditionalFormatting sqref="F5:J17 M5:N17 P5:Q17 T5:U17 W5:X17 AA5:AB17 AD5:AE17 K5:L78 O5:O78 R5:S78 Y5:Z78 AC5:AC78 AF5:AG78 F19:J26 M19:N26 P19:Q26 T19:U26 AA19:AB26 AD19:AE26 F28:J37 M28:N37 P28:Q37 T28:U37 AA28:AB37 AD28:AE37 F39:J50 M39:N50 P39:Q50 T39:U50 AA39:AB50 AD39:AE50 F52:J78 M52:N78 P52:Q78 T52:U78 W52:X78 AA52:AB78 AD52:AE78 W39:X42 W44:X50 X43 W19:X22 W24:X26 X23 W37:X37 W28:X35 X36 V5:V22 V24:V78">
    <cfRule type="containsText" dxfId="63" priority="18" operator="containsText" text="K2a">
      <formula>NOT(ISERROR(SEARCH(("K2a"),(F5))))</formula>
    </cfRule>
    <cfRule type="cellIs" dxfId="62" priority="20" operator="equal">
      <formula>"N1"</formula>
    </cfRule>
    <cfRule type="cellIs" dxfId="61" priority="21" operator="equal">
      <formula>"N2"</formula>
    </cfRule>
    <cfRule type="cellIs" dxfId="60" priority="22" operator="equal">
      <formula>"N3"</formula>
    </cfRule>
    <cfRule type="cellIs" dxfId="59" priority="23" operator="equal">
      <formula>"NF"</formula>
    </cfRule>
    <cfRule type="cellIs" dxfId="58" priority="66" operator="equal">
      <formula>"N2a"</formula>
    </cfRule>
    <cfRule type="cellIs" dxfId="57" priority="67" operator="equal">
      <formula>"N2b"</formula>
    </cfRule>
  </conditionalFormatting>
  <conditionalFormatting sqref="F5:J17 M5:N17 P5:Q17 T5:U17 W5:X17 AA5:AB17 AD5:AE17 K5:L78 O5:O78 R5:S78 Y5:Z78 AC5:AC78 AF5:AG78 F19:J26 M19:N26 P19:Q26 T19:U26 AA19:AB26 AD19:AE26 F28:J37 M28:N37 P28:Q37 T28:U37 AA28:AB37 AD28:AE37 F39:J50 M39:N50 P39:Q50 T39:U50 AA39:AB50 AD39:AE50 H52:H78 F71:G78 I71:J78 M71:N78 P71:Q78 T71:U78 W71:X78 AA71:AB78 AD71:AE78 F52:AG69">
    <cfRule type="cellIs" dxfId="56" priority="28" operator="equal">
      <formula>"WC"</formula>
    </cfRule>
  </conditionalFormatting>
  <conditionalFormatting sqref="F44:AG78 F43:V43 X43:AG43 F5:AG22 X23:AG23 F37:AG42 F36:V36 X36:AG36 F23:U23 F24:AG35">
    <cfRule type="cellIs" dxfId="55" priority="19" operator="equal">
      <formula>"TH1a"</formula>
    </cfRule>
  </conditionalFormatting>
  <conditionalFormatting sqref="Y76:Y78 K7:K9 AF7:AG13 Y7:Z14 O7:O16 R7:S17 V7:V17 AC7:AC17 P8:Q9 T8:T11 W8:W14 AA8:AA14 AE8:AE14 X8:X15 AD8:AD16 M8:M17 U8:U17 AB8:AB17 H10:H11 J10:J12 L10:L12 N10:N17 P11 Q11:Q12 I11:I17 K11:K17 P13:P16 T13:T17 Q16 X17 AE17:AG17 R71 AF73 R73:R75 AF75:AG78 F52:AG69 F39:AG42 F44:AG50 F43:V43 X43:AG43 F19:AG22 F24:AG26 X23:AG23 F37:AG37 F36:V36 X36:AG36 F23:U23 F28:AG35">
    <cfRule type="cellIs" dxfId="54" priority="48" operator="equal">
      <formula>"PB4"</formula>
    </cfRule>
  </conditionalFormatting>
  <conditionalFormatting sqref="L20 R20 F39:AG42 F44:AG78 F43:V43 X43:AG43 W37 W31:W35">
    <cfRule type="cellIs" dxfId="53" priority="72" operator="equal">
      <formula>"PT8"</formula>
    </cfRule>
  </conditionalFormatting>
  <conditionalFormatting sqref="H45">
    <cfRule type="cellIs" dxfId="52" priority="71" operator="equal">
      <formula>"T1p"</formula>
    </cfRule>
  </conditionalFormatting>
  <conditionalFormatting sqref="K7:K9 AF7:AG13 Y7:Z14 O7:O16 R7:S17 V7:V17 AC7:AC17 P8:Q9 T8:T11 W8:W14 AA8:AA14 AE8:AE14 X8:X15 AD8:AD16 M8:M17 U8:U17 AB8:AB17 H10:H11 J10:J12 L10:L12 N10:N17 P11 Q11:Q12 I11:I17 K11:K17 P13:P16 T13:T17 Q16 X17 AE17:AG17 F41:G41 F45:G46 R71 AF73 R73:R75 AF75:AG78 Y76:Y78 F52:AG69 H39:AG42 H44:AG50 F43:V43 X43:AG43 F19:AG22 F24:AG26 X23:AG23 F37:AG37 F36:V36 X36:AG36 F23:U23 F28:AG35">
    <cfRule type="cellIs" dxfId="51" priority="50" operator="equal">
      <formula>"PT12"</formula>
    </cfRule>
  </conditionalFormatting>
  <conditionalFormatting sqref="K5:L78 O5:O78 R5:S78 Y5:Z78 AC5:AC78 AF5:AG78 F39:J50 M39:N50 P39:Q50 T39:U50 AD39:AE50 F52:J78 M52:N78 P52:Q78 T52:U78 W52:X78 AA52:AB78 AD52:AE78 F5:J17 M5:N17 P5:Q17 T5:U17 W5:X17 AA5:AB17 AD5:AE17 F19:J26 M19:N26 P19:Q26 T19:U26 AA19:AB26 AD19:AE26 F28:J37 M28:N37 P28:Q37 T28:U37 AA28:AB37 AD28:AE37 AA39:AB50 W39:X42 W44:X50 X43 W19:X22 W24:X26 X23 W37:X37 W28:X35 X36 V5:V22 V24:V78">
    <cfRule type="containsText" dxfId="50" priority="25" operator="containsText" text="T1n">
      <formula>NOT(ISERROR(SEARCH(("T1n"),(F5))))</formula>
    </cfRule>
  </conditionalFormatting>
  <conditionalFormatting sqref="K39:L50 F41:G41 F43:G43 F45:G46 K47:M47 T47:U47 J48:J50 Q48:Q50 J52:J58 AD52:AD66 U52:U67 F52:I69 K52:T69 AE52:AG69 J60:J69 AD68:AE69 U69 Y76:Y78 V52:AC69 W39:AG42 W44:AG50 X43:AG43 F19:AG22 F24:AG26 X23:AG23 F37:AG37 F36:V36 X36:AG36 F23:U23 F28:AG35">
    <cfRule type="cellIs" dxfId="49" priority="31" operator="equal">
      <formula>"B4"</formula>
    </cfRule>
  </conditionalFormatting>
  <conditionalFormatting sqref="L20 R20 F39:AG42 F44:AG78 F43:V43 X43:AG43 W37 W31:W35">
    <cfRule type="cellIs" dxfId="48" priority="73" operator="equal">
      <formula>"T1a"</formula>
    </cfRule>
  </conditionalFormatting>
  <conditionalFormatting sqref="M5:N17 T5:U17 O5:O78 K7:K9 AF7:AG13 Y7:Y14 H7:H17 L7:L17 R7:S17 V7:V17 Z7:Z17 AC7:AC17 AF7:AF17 W8:W14 AA8:AA15 J8:J17 P8:Q17 X8:X17 AB8:AB17 AD8:AE17 I10:I17 K11:K17 AG15:AG17 W16:W17 Y16:Y17 F39:N50 F71:AG78 F52:AG69">
    <cfRule type="cellIs" dxfId="47" priority="29" operator="equal">
      <formula>"PT2"</formula>
    </cfRule>
  </conditionalFormatting>
  <conditionalFormatting sqref="M5:N17 T5:U17 O5:O78 K7:K9 AG7:AG13 Y7:Y14 H7:H17 L7:L17 R7:S17 V7:V17 Z7:Z17 AC7:AC17 AF7:AF17 W8:W14 AA8:AA15 J8:J17 P8:Q17 X8:X17 AB8:AB17 AD8:AE17 I10:I17 K11:K17 AG15:AG17 W16:W17 Y16:Y17 F19:N26 F28:N37 F39:N50 F52:N69 K71:L78 R71:R78 Y71:Z78 AG72:AG73 M72:N78 S72:S78 AF72:AF78 F73:J78 P73:Q78 AG75:AG78 T78:X78 AA78:AE78 P52:AG69 P39:AG42 P44:AG50 P43:V43 X43:AG43 P19:AG22 P24:AG26 X23:AG23 P37:AG37 P36:V36 X36:AG36 P23:U23 P28:AG35">
    <cfRule type="cellIs" dxfId="46" priority="43" operator="equal">
      <formula>"TN"</formula>
    </cfRule>
  </conditionalFormatting>
  <conditionalFormatting sqref="M5:N17 T5:U17 O5:O78 K7:K9 AG7:AG13 Y7:Y14 H7:H17 L7:L17 R7:S17 V7:V17 Z7:Z17 AC7:AC17 AF7:AF17 W8:W14 AA8:AA15 J8:J17 P8:Q17 X8:X17 AB8:AB17 AD8:AE17 I10:I17 K11:K17 AG15:AG17 W16:W17 Y16:Y17 F19:N26 F28:N37 F39:N50 F52:N69 R71 K71:L78 Y71:Z78 S72 AG72:AG73 M72:N75 AF72:AF78 R73:R76 AG75:AG78 P52:AG69 P39:AG42 P44:AG50 P43:V43 X43:AG43 P19:AG22 P24:AG26 X23:AG23 P37:AG37 P36:V36 X36:AG36 P23:U23 P28:AG35">
    <cfRule type="cellIs" dxfId="45" priority="27" operator="equal">
      <formula>"B2"</formula>
    </cfRule>
  </conditionalFormatting>
  <conditionalFormatting sqref="M5:N17 T5:U17 O5:O78 K7:K9 AG7:AG13 Y7:Y14 H7:H17 L7:L17 R7:S17 V7:V17 Z7:Z17 AC7:AC17 AF7:AF17 W8:W14 AA8:AA15 J8:J17 P8:Q17 X8:X17 AB8:AB17 AD8:AE17 I10:I17 K11:K17 AG15:AG17 W16:W17 Y16:Y17 F19:N26 F28:N37 F39:N50 R71 K71:L78 Y71:Z78 S72 AG72:AG73 M72:N75 AF72:AF78 R73:R76 AG75:AG78">
    <cfRule type="cellIs" dxfId="44" priority="36" operator="equal">
      <formula>"PB2"</formula>
    </cfRule>
  </conditionalFormatting>
  <conditionalFormatting sqref="S7 K7:K9 R7:R10 Y7:Y13 AF7:AG13 Z7:Z14 V7:V17 AC7:AC17 T8:T11 W8:W14 AA8:AA14 AE8:AE14 X8:X15 AD8:AD16 M8:M17 U8:U17 AB8:AB17 S10 H10:H11 J10:J12 O10:O16 N10:N17 P11 L11:L12 Q11:Q12 I11:I17 K11:K17 P13:P16 T13:T17 X17 AE17 P39 T39:V46 H39:H50 O39:O50 R39:S50 N40 Q41 Q44:Q45 F46 T48:V50 O52:O56 AC52:AC56 G55 Q56:Q57 O58:O69 AC58:AC69 N59 M59:M60 X60:X61 F62 T68:U68 F69 F71:AG78">
    <cfRule type="cellIs" dxfId="43" priority="34" operator="equal">
      <formula>"B4"</formula>
    </cfRule>
  </conditionalFormatting>
  <conditionalFormatting sqref="S7 R7:R10 T8:T11 AE8:AE14 AD8:AD16 M8:M17 U8:U17 S10 N10:N17 P11 Q11:Q12 P13:P16 T13:T17 AE17 P39 T39:V46 N40 Q41 Q44:Q45 F46 T48:V50 AC52:AC56 G55 Q56:Q57 AC58:AC69 N59 M59:M60 X60:X61 F62 T68:U68 F69">
    <cfRule type="cellIs" dxfId="42" priority="33" operator="equal">
      <formula>"PT2"</formula>
    </cfRule>
  </conditionalFormatting>
  <conditionalFormatting sqref="Y7:Z8 AF7:AG8 K7:K9 O7:O9 R7:S17 P8:Q9 L10:L12 K11:K17 O12 Q12 Z13 AF13:AG13 Y13:Y14 P13:P16 AA14 V14:V17 Q16 T17:U17 AE17:AG17 K19 L19:L20 T19:U20 W19:Y20 AB19:AE20 Z19:Z21 AF19:AF22 M19:M26 P19:P26 R19:S26 AA19:AA26 AG19:AG26 AB22:AB26 AD22:AE26 T23:U23 X23:Z23 AC23 Y25:Z25 AF26 K28:L29 G28:H37 R28:S37 AF28:AG37 J29 N29 Q29 N31:O32 M32 AD32:AE32 AA32:AA33 Q33 T33:U33 L33:L34 K34 AC34 AE34:AE37 T35:U35 AD35:AD36 AC36 X36:Z37 R71 AF73 AF75:AG78 Y76:Y78 F52:AG69 F39:AG42 F44:AG50 F43:V43 X43:AG43 W37 W31:W35 V19:V22 V24:W26 V28:V37">
    <cfRule type="cellIs" dxfId="41" priority="64" operator="equal">
      <formula>"D4"</formula>
    </cfRule>
    <cfRule type="cellIs" dxfId="40" priority="65" operator="equal">
      <formula>"D5"</formula>
    </cfRule>
  </conditionalFormatting>
  <conditionalFormatting sqref="V37">
    <cfRule type="cellIs" dxfId="39" priority="13" operator="equal">
      <formula>"PT8"</formula>
    </cfRule>
  </conditionalFormatting>
  <conditionalFormatting sqref="V37">
    <cfRule type="cellIs" dxfId="38" priority="14" operator="equal">
      <formula>"T1a"</formula>
    </cfRule>
  </conditionalFormatting>
  <conditionalFormatting sqref="V36">
    <cfRule type="cellIs" dxfId="37" priority="11" operator="equal">
      <formula>"PT8"</formula>
    </cfRule>
  </conditionalFormatting>
  <conditionalFormatting sqref="V36">
    <cfRule type="cellIs" dxfId="36" priority="12" operator="equal">
      <formula>"T1a"</formula>
    </cfRule>
  </conditionalFormatting>
  <conditionalFormatting sqref="V35">
    <cfRule type="cellIs" dxfId="35" priority="9" operator="equal">
      <formula>"PT8"</formula>
    </cfRule>
  </conditionalFormatting>
  <conditionalFormatting sqref="V35">
    <cfRule type="cellIs" dxfId="34" priority="10" operator="equal">
      <formula>"T1a"</formula>
    </cfRule>
  </conditionalFormatting>
  <conditionalFormatting sqref="V34">
    <cfRule type="cellIs" dxfId="33" priority="7" operator="equal">
      <formula>"PT8"</formula>
    </cfRule>
  </conditionalFormatting>
  <conditionalFormatting sqref="V34">
    <cfRule type="cellIs" dxfId="32" priority="8" operator="equal">
      <formula>"T1a"</formula>
    </cfRule>
  </conditionalFormatting>
  <conditionalFormatting sqref="V33">
    <cfRule type="cellIs" dxfId="31" priority="5" operator="equal">
      <formula>"PT8"</formula>
    </cfRule>
  </conditionalFormatting>
  <conditionalFormatting sqref="V33">
    <cfRule type="cellIs" dxfId="30" priority="6" operator="equal">
      <formula>"T1a"</formula>
    </cfRule>
  </conditionalFormatting>
  <conditionalFormatting sqref="V31">
    <cfRule type="cellIs" dxfId="29" priority="1" operator="equal">
      <formula>"PT8"</formula>
    </cfRule>
  </conditionalFormatting>
  <conditionalFormatting sqref="V31">
    <cfRule type="cellIs" dxfId="28" priority="2" operator="equal">
      <formula>"T1a"</formula>
    </cfRule>
  </conditionalFormatting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/>
  <cols>
    <col min="1" max="1" width="23.5" customWidth="1"/>
    <col min="2" max="3" width="5.5" customWidth="1"/>
    <col min="4" max="4" width="6" customWidth="1"/>
    <col min="5" max="15" width="5.5" customWidth="1"/>
    <col min="16" max="16" width="7" customWidth="1"/>
    <col min="17" max="27" width="5.5" customWidth="1"/>
  </cols>
  <sheetData>
    <row r="1" spans="1:27" ht="15.75" customHeight="1">
      <c r="A1" s="104">
        <v>1</v>
      </c>
      <c r="B1" s="105" t="s">
        <v>294</v>
      </c>
      <c r="C1" s="106" t="s">
        <v>295</v>
      </c>
      <c r="D1" s="107" t="s">
        <v>296</v>
      </c>
      <c r="E1" s="108" t="s">
        <v>297</v>
      </c>
      <c r="F1" s="105" t="s">
        <v>298</v>
      </c>
      <c r="G1" s="106" t="s">
        <v>299</v>
      </c>
      <c r="H1" s="109" t="s">
        <v>300</v>
      </c>
      <c r="I1" s="110" t="s">
        <v>301</v>
      </c>
      <c r="J1" s="105" t="s">
        <v>302</v>
      </c>
      <c r="K1" s="106" t="s">
        <v>303</v>
      </c>
      <c r="L1" s="107" t="s">
        <v>304</v>
      </c>
      <c r="M1" s="108" t="s">
        <v>305</v>
      </c>
      <c r="N1" s="111" t="s">
        <v>306</v>
      </c>
      <c r="O1" s="112" t="s">
        <v>307</v>
      </c>
      <c r="P1" s="109" t="s">
        <v>308</v>
      </c>
      <c r="Q1" s="110" t="s">
        <v>309</v>
      </c>
      <c r="R1" s="111" t="s">
        <v>310</v>
      </c>
      <c r="S1" s="112" t="s">
        <v>311</v>
      </c>
      <c r="T1" s="108" t="s">
        <v>312</v>
      </c>
      <c r="U1" s="107" t="s">
        <v>313</v>
      </c>
      <c r="V1" s="112" t="s">
        <v>314</v>
      </c>
      <c r="W1" s="112" t="s">
        <v>315</v>
      </c>
      <c r="X1" s="109" t="s">
        <v>316</v>
      </c>
      <c r="Y1" s="108" t="s">
        <v>317</v>
      </c>
      <c r="Z1" s="111" t="s">
        <v>318</v>
      </c>
      <c r="AA1" s="112" t="s">
        <v>319</v>
      </c>
    </row>
    <row r="2" spans="1:27" ht="15.75" customHeight="1">
      <c r="B2" s="113">
        <v>44743</v>
      </c>
      <c r="C2" s="114">
        <v>45852</v>
      </c>
      <c r="D2" s="115">
        <v>45866</v>
      </c>
      <c r="E2" s="115">
        <v>45880</v>
      </c>
      <c r="F2" s="116">
        <v>45894</v>
      </c>
      <c r="G2" s="116">
        <v>45908</v>
      </c>
      <c r="H2" s="115">
        <v>45922</v>
      </c>
      <c r="I2" s="115">
        <v>45936</v>
      </c>
      <c r="J2" s="115">
        <v>45950</v>
      </c>
      <c r="K2" s="116">
        <v>45964</v>
      </c>
      <c r="L2" s="117">
        <v>45978</v>
      </c>
      <c r="M2" s="117">
        <v>45992</v>
      </c>
      <c r="N2" s="115">
        <v>46006</v>
      </c>
      <c r="O2" s="116">
        <v>46020</v>
      </c>
      <c r="P2" s="117">
        <v>45669</v>
      </c>
      <c r="Q2" s="117">
        <v>45683</v>
      </c>
      <c r="R2" s="118">
        <v>45697</v>
      </c>
      <c r="S2" s="118">
        <v>45711</v>
      </c>
      <c r="T2" s="115">
        <v>45725</v>
      </c>
      <c r="U2" s="115">
        <v>45739</v>
      </c>
      <c r="V2" s="118">
        <v>45753</v>
      </c>
      <c r="W2" s="115">
        <v>45767</v>
      </c>
      <c r="X2" s="117">
        <v>45781</v>
      </c>
      <c r="Y2" s="117">
        <v>45795</v>
      </c>
      <c r="Z2" s="118">
        <v>45809</v>
      </c>
      <c r="AA2" s="116">
        <v>45823</v>
      </c>
    </row>
    <row r="3" spans="1:27" ht="15.75" customHeight="1">
      <c r="A3" s="35" t="s">
        <v>320</v>
      </c>
      <c r="B3" s="119" t="s">
        <v>321</v>
      </c>
      <c r="C3" s="119" t="s">
        <v>321</v>
      </c>
      <c r="D3" s="120" t="s">
        <v>3</v>
      </c>
      <c r="E3" s="120" t="s">
        <v>3</v>
      </c>
      <c r="F3" s="120" t="s">
        <v>322</v>
      </c>
      <c r="G3" s="120" t="s">
        <v>322</v>
      </c>
      <c r="H3" s="120" t="s">
        <v>323</v>
      </c>
      <c r="I3" s="120" t="s">
        <v>324</v>
      </c>
      <c r="J3" s="120" t="s">
        <v>325</v>
      </c>
      <c r="K3" s="120" t="s">
        <v>326</v>
      </c>
      <c r="L3" s="120" t="s">
        <v>106</v>
      </c>
      <c r="M3" s="120" t="s">
        <v>106</v>
      </c>
      <c r="N3" s="120" t="s">
        <v>327</v>
      </c>
      <c r="O3" s="120" t="s">
        <v>328</v>
      </c>
      <c r="P3" s="120" t="s">
        <v>324</v>
      </c>
      <c r="Q3" s="120" t="s">
        <v>329</v>
      </c>
      <c r="R3" s="120" t="s">
        <v>2</v>
      </c>
      <c r="S3" s="120" t="s">
        <v>2</v>
      </c>
      <c r="T3" s="120" t="s">
        <v>330</v>
      </c>
      <c r="U3" s="120" t="s">
        <v>328</v>
      </c>
      <c r="V3" s="120" t="s">
        <v>325</v>
      </c>
      <c r="W3" s="120" t="s">
        <v>331</v>
      </c>
      <c r="X3" s="120" t="s">
        <v>325</v>
      </c>
      <c r="Y3" s="120" t="s">
        <v>325</v>
      </c>
      <c r="Z3" s="120" t="s">
        <v>332</v>
      </c>
      <c r="AA3" s="120" t="s">
        <v>327</v>
      </c>
    </row>
    <row r="4" spans="1:27" ht="15.75" customHeight="1">
      <c r="A4" s="35" t="s">
        <v>188</v>
      </c>
      <c r="B4" s="119" t="s">
        <v>321</v>
      </c>
      <c r="C4" s="119" t="s">
        <v>321</v>
      </c>
      <c r="D4" s="120" t="s">
        <v>322</v>
      </c>
      <c r="E4" s="120" t="s">
        <v>322</v>
      </c>
      <c r="F4" s="120" t="s">
        <v>3</v>
      </c>
      <c r="G4" s="120" t="s">
        <v>3</v>
      </c>
      <c r="H4" s="120" t="s">
        <v>325</v>
      </c>
      <c r="I4" s="120" t="s">
        <v>323</v>
      </c>
      <c r="J4" s="120" t="s">
        <v>330</v>
      </c>
      <c r="K4" s="120" t="s">
        <v>325</v>
      </c>
      <c r="L4" s="120" t="s">
        <v>331</v>
      </c>
      <c r="M4" s="120" t="s">
        <v>328</v>
      </c>
      <c r="N4" s="120" t="s">
        <v>324</v>
      </c>
      <c r="O4" s="120" t="s">
        <v>327</v>
      </c>
      <c r="P4" s="120" t="s">
        <v>106</v>
      </c>
      <c r="Q4" s="120" t="s">
        <v>106</v>
      </c>
      <c r="R4" s="120" t="s">
        <v>329</v>
      </c>
      <c r="S4" s="120" t="s">
        <v>326</v>
      </c>
      <c r="T4" s="120" t="s">
        <v>325</v>
      </c>
      <c r="U4" s="120" t="s">
        <v>325</v>
      </c>
      <c r="V4" s="120" t="s">
        <v>2</v>
      </c>
      <c r="W4" s="120" t="s">
        <v>2</v>
      </c>
      <c r="X4" s="120" t="s">
        <v>328</v>
      </c>
      <c r="Y4" s="120" t="s">
        <v>332</v>
      </c>
      <c r="Z4" s="120" t="s">
        <v>324</v>
      </c>
      <c r="AA4" s="120" t="s">
        <v>327</v>
      </c>
    </row>
    <row r="5" spans="1:27" ht="15.75" customHeight="1">
      <c r="A5" s="35" t="s">
        <v>66</v>
      </c>
      <c r="B5" s="119" t="s">
        <v>321</v>
      </c>
      <c r="C5" s="119" t="s">
        <v>321</v>
      </c>
      <c r="D5" s="120" t="s">
        <v>3</v>
      </c>
      <c r="E5" s="120" t="s">
        <v>3</v>
      </c>
      <c r="F5" s="120" t="s">
        <v>329</v>
      </c>
      <c r="G5" s="120" t="s">
        <v>326</v>
      </c>
      <c r="H5" s="120" t="s">
        <v>328</v>
      </c>
      <c r="I5" s="120" t="s">
        <v>324</v>
      </c>
      <c r="J5" s="120" t="s">
        <v>322</v>
      </c>
      <c r="K5" s="120" t="s">
        <v>322</v>
      </c>
      <c r="L5" s="120" t="s">
        <v>325</v>
      </c>
      <c r="M5" s="120" t="s">
        <v>325</v>
      </c>
      <c r="N5" s="120" t="s">
        <v>106</v>
      </c>
      <c r="O5" s="120" t="s">
        <v>106</v>
      </c>
      <c r="P5" s="120" t="s">
        <v>328</v>
      </c>
      <c r="Q5" s="120" t="s">
        <v>325</v>
      </c>
      <c r="R5" s="120" t="s">
        <v>323</v>
      </c>
      <c r="S5" s="120" t="s">
        <v>327</v>
      </c>
      <c r="T5" s="120" t="s">
        <v>325</v>
      </c>
      <c r="U5" s="120" t="s">
        <v>330</v>
      </c>
      <c r="V5" s="120" t="s">
        <v>332</v>
      </c>
      <c r="W5" s="120" t="s">
        <v>324</v>
      </c>
      <c r="X5" s="120" t="s">
        <v>2</v>
      </c>
      <c r="Y5" s="120" t="s">
        <v>2</v>
      </c>
      <c r="Z5" s="120" t="s">
        <v>327</v>
      </c>
      <c r="AA5" s="120" t="s">
        <v>331</v>
      </c>
    </row>
    <row r="6" spans="1:27" ht="15.75" customHeight="1">
      <c r="A6" s="35" t="s">
        <v>333</v>
      </c>
      <c r="B6" s="119" t="s">
        <v>321</v>
      </c>
      <c r="C6" s="119" t="s">
        <v>321</v>
      </c>
      <c r="D6" s="120" t="s">
        <v>325</v>
      </c>
      <c r="E6" s="120" t="s">
        <v>327</v>
      </c>
      <c r="F6" s="120" t="s">
        <v>106</v>
      </c>
      <c r="G6" s="120" t="s">
        <v>106</v>
      </c>
      <c r="H6" s="120" t="s">
        <v>328</v>
      </c>
      <c r="I6" s="120" t="s">
        <v>324</v>
      </c>
      <c r="J6" s="120" t="s">
        <v>327</v>
      </c>
      <c r="K6" s="120" t="s">
        <v>325</v>
      </c>
      <c r="L6" s="120" t="s">
        <v>322</v>
      </c>
      <c r="M6" s="120" t="s">
        <v>322</v>
      </c>
      <c r="N6" s="120" t="s">
        <v>332</v>
      </c>
      <c r="O6" s="120" t="s">
        <v>328</v>
      </c>
      <c r="P6" s="120" t="s">
        <v>325</v>
      </c>
      <c r="Q6" s="120" t="s">
        <v>323</v>
      </c>
      <c r="R6" s="120" t="s">
        <v>3</v>
      </c>
      <c r="S6" s="120" t="s">
        <v>3</v>
      </c>
      <c r="T6" s="120" t="s">
        <v>329</v>
      </c>
      <c r="U6" s="120" t="s">
        <v>324</v>
      </c>
      <c r="V6" s="120" t="s">
        <v>325</v>
      </c>
      <c r="W6" s="120" t="s">
        <v>330</v>
      </c>
      <c r="X6" s="120" t="s">
        <v>326</v>
      </c>
      <c r="Y6" s="120" t="s">
        <v>331</v>
      </c>
      <c r="Z6" s="120" t="s">
        <v>2</v>
      </c>
      <c r="AA6" s="120" t="s">
        <v>2</v>
      </c>
    </row>
    <row r="7" spans="1:27" ht="15.75" customHeight="1">
      <c r="A7" s="35" t="s">
        <v>334</v>
      </c>
      <c r="B7" s="119" t="s">
        <v>321</v>
      </c>
      <c r="C7" s="119" t="s">
        <v>321</v>
      </c>
      <c r="D7" s="121" t="s">
        <v>2</v>
      </c>
      <c r="E7" s="121" t="s">
        <v>2</v>
      </c>
      <c r="F7" s="120" t="s">
        <v>324</v>
      </c>
      <c r="G7" s="120" t="s">
        <v>325</v>
      </c>
      <c r="H7" s="120" t="s">
        <v>3</v>
      </c>
      <c r="I7" s="120" t="s">
        <v>3</v>
      </c>
      <c r="J7" s="120" t="s">
        <v>331</v>
      </c>
      <c r="K7" s="120" t="s">
        <v>327</v>
      </c>
      <c r="L7" s="120" t="s">
        <v>326</v>
      </c>
      <c r="M7" s="120" t="s">
        <v>332</v>
      </c>
      <c r="N7" s="120" t="s">
        <v>324</v>
      </c>
      <c r="O7" s="120" t="s">
        <v>325</v>
      </c>
      <c r="P7" s="120" t="s">
        <v>328</v>
      </c>
      <c r="Q7" s="120" t="s">
        <v>328</v>
      </c>
      <c r="R7" s="120" t="s">
        <v>106</v>
      </c>
      <c r="S7" s="120" t="s">
        <v>106</v>
      </c>
      <c r="T7" s="120" t="s">
        <v>323</v>
      </c>
      <c r="U7" s="120" t="s">
        <v>329</v>
      </c>
      <c r="V7" s="120" t="s">
        <v>327</v>
      </c>
      <c r="W7" s="120" t="s">
        <v>325</v>
      </c>
      <c r="X7" s="120" t="s">
        <v>322</v>
      </c>
      <c r="Y7" s="120" t="s">
        <v>322</v>
      </c>
      <c r="Z7" s="120" t="s">
        <v>330</v>
      </c>
      <c r="AA7" s="120" t="s">
        <v>325</v>
      </c>
    </row>
    <row r="8" spans="1:27" ht="15.75" customHeight="1">
      <c r="A8" s="35" t="s">
        <v>69</v>
      </c>
      <c r="B8" s="119" t="s">
        <v>321</v>
      </c>
      <c r="C8" s="119" t="s">
        <v>321</v>
      </c>
      <c r="D8" s="120" t="s">
        <v>322</v>
      </c>
      <c r="E8" s="120" t="s">
        <v>322</v>
      </c>
      <c r="F8" s="120" t="s">
        <v>2</v>
      </c>
      <c r="G8" s="120" t="s">
        <v>2</v>
      </c>
      <c r="H8" s="120" t="s">
        <v>3</v>
      </c>
      <c r="I8" s="120" t="s">
        <v>3</v>
      </c>
      <c r="J8" s="120" t="s">
        <v>323</v>
      </c>
      <c r="K8" s="120" t="s">
        <v>324</v>
      </c>
      <c r="L8" s="120" t="s">
        <v>327</v>
      </c>
      <c r="M8" s="120" t="s">
        <v>330</v>
      </c>
      <c r="N8" s="120" t="s">
        <v>325</v>
      </c>
      <c r="O8" s="120" t="s">
        <v>325</v>
      </c>
      <c r="P8" s="120" t="s">
        <v>329</v>
      </c>
      <c r="Q8" s="120" t="s">
        <v>327</v>
      </c>
      <c r="R8" s="120" t="s">
        <v>328</v>
      </c>
      <c r="S8" s="120" t="s">
        <v>325</v>
      </c>
      <c r="T8" s="120" t="s">
        <v>106</v>
      </c>
      <c r="U8" s="120" t="s">
        <v>106</v>
      </c>
      <c r="V8" s="120" t="s">
        <v>324</v>
      </c>
      <c r="W8" s="120" t="s">
        <v>325</v>
      </c>
      <c r="X8" s="120" t="s">
        <v>331</v>
      </c>
      <c r="Y8" s="120" t="s">
        <v>326</v>
      </c>
      <c r="Z8" s="120" t="s">
        <v>328</v>
      </c>
      <c r="AA8" s="120" t="s">
        <v>332</v>
      </c>
    </row>
    <row r="9" spans="1:27" ht="15.75" customHeight="1">
      <c r="A9" s="35" t="s">
        <v>71</v>
      </c>
      <c r="B9" s="119" t="s">
        <v>321</v>
      </c>
      <c r="C9" s="119" t="s">
        <v>321</v>
      </c>
      <c r="D9" s="120" t="s">
        <v>2</v>
      </c>
      <c r="E9" s="120" t="s">
        <v>2</v>
      </c>
      <c r="F9" s="120" t="s">
        <v>324</v>
      </c>
      <c r="G9" s="120" t="s">
        <v>325</v>
      </c>
      <c r="H9" s="120" t="s">
        <v>322</v>
      </c>
      <c r="I9" s="120" t="s">
        <v>322</v>
      </c>
      <c r="J9" s="120" t="s">
        <v>3</v>
      </c>
      <c r="K9" s="120" t="s">
        <v>3</v>
      </c>
      <c r="L9" s="120" t="s">
        <v>325</v>
      </c>
      <c r="M9" s="120" t="s">
        <v>327</v>
      </c>
      <c r="N9" s="120" t="s">
        <v>330</v>
      </c>
      <c r="O9" s="120" t="s">
        <v>329</v>
      </c>
      <c r="P9" s="120" t="s">
        <v>326</v>
      </c>
      <c r="Q9" s="120" t="s">
        <v>325</v>
      </c>
      <c r="R9" s="120" t="s">
        <v>332</v>
      </c>
      <c r="S9" s="120" t="s">
        <v>327</v>
      </c>
      <c r="T9" s="120" t="s">
        <v>328</v>
      </c>
      <c r="U9" s="120" t="s">
        <v>331</v>
      </c>
      <c r="V9" s="120" t="s">
        <v>106</v>
      </c>
      <c r="W9" s="120" t="s">
        <v>106</v>
      </c>
      <c r="X9" s="120" t="s">
        <v>323</v>
      </c>
      <c r="Y9" s="120" t="s">
        <v>324</v>
      </c>
      <c r="Z9" s="120" t="s">
        <v>328</v>
      </c>
      <c r="AA9" s="120" t="s">
        <v>325</v>
      </c>
    </row>
    <row r="10" spans="1:27" ht="15.75" customHeight="1">
      <c r="A10" s="35" t="s">
        <v>186</v>
      </c>
      <c r="B10" s="119" t="s">
        <v>321</v>
      </c>
      <c r="C10" s="119" t="s">
        <v>321</v>
      </c>
      <c r="D10" s="120" t="s">
        <v>328</v>
      </c>
      <c r="E10" s="120" t="s">
        <v>329</v>
      </c>
      <c r="F10" s="120" t="s">
        <v>325</v>
      </c>
      <c r="G10" s="120" t="s">
        <v>332</v>
      </c>
      <c r="H10" s="120" t="s">
        <v>327</v>
      </c>
      <c r="I10" s="120" t="s">
        <v>324</v>
      </c>
      <c r="J10" s="120" t="s">
        <v>322</v>
      </c>
      <c r="K10" s="120" t="s">
        <v>322</v>
      </c>
      <c r="L10" s="120" t="s">
        <v>3</v>
      </c>
      <c r="M10" s="120" t="s">
        <v>3</v>
      </c>
      <c r="N10" s="120" t="s">
        <v>325</v>
      </c>
      <c r="O10" s="120" t="s">
        <v>331</v>
      </c>
      <c r="P10" s="120" t="s">
        <v>327</v>
      </c>
      <c r="Q10" s="120" t="s">
        <v>325</v>
      </c>
      <c r="R10" s="120" t="s">
        <v>326</v>
      </c>
      <c r="S10" s="120" t="s">
        <v>323</v>
      </c>
      <c r="T10" s="120" t="s">
        <v>2</v>
      </c>
      <c r="U10" s="120" t="s">
        <v>2</v>
      </c>
      <c r="V10" s="120" t="s">
        <v>324</v>
      </c>
      <c r="W10" s="120" t="s">
        <v>325</v>
      </c>
      <c r="X10" s="120" t="s">
        <v>106</v>
      </c>
      <c r="Y10" s="120" t="s">
        <v>106</v>
      </c>
      <c r="Z10" s="120" t="s">
        <v>328</v>
      </c>
      <c r="AA10" s="120" t="s">
        <v>330</v>
      </c>
    </row>
    <row r="11" spans="1:27" ht="15.75" customHeight="1">
      <c r="A11" s="35" t="s">
        <v>335</v>
      </c>
      <c r="B11" s="119" t="s">
        <v>321</v>
      </c>
      <c r="C11" s="119" t="s">
        <v>321</v>
      </c>
      <c r="D11" s="120" t="s">
        <v>330</v>
      </c>
      <c r="E11" s="120" t="s">
        <v>325</v>
      </c>
      <c r="F11" s="120" t="s">
        <v>326</v>
      </c>
      <c r="G11" s="120" t="s">
        <v>325</v>
      </c>
      <c r="H11" s="120" t="s">
        <v>322</v>
      </c>
      <c r="I11" s="120" t="s">
        <v>322</v>
      </c>
      <c r="J11" s="120" t="s">
        <v>329</v>
      </c>
      <c r="K11" s="120" t="s">
        <v>331</v>
      </c>
      <c r="L11" s="120" t="s">
        <v>3</v>
      </c>
      <c r="M11" s="120" t="s">
        <v>3</v>
      </c>
      <c r="N11" s="120" t="s">
        <v>327</v>
      </c>
      <c r="O11" s="120" t="s">
        <v>324</v>
      </c>
      <c r="P11" s="120" t="s">
        <v>2</v>
      </c>
      <c r="Q11" s="120" t="s">
        <v>2</v>
      </c>
      <c r="R11" s="120" t="s">
        <v>328</v>
      </c>
      <c r="S11" s="120" t="s">
        <v>328</v>
      </c>
      <c r="T11" s="120" t="s">
        <v>324</v>
      </c>
      <c r="U11" s="120" t="s">
        <v>332</v>
      </c>
      <c r="V11" s="120" t="s">
        <v>325</v>
      </c>
      <c r="W11" s="120" t="s">
        <v>327</v>
      </c>
      <c r="X11" s="120" t="s">
        <v>325</v>
      </c>
      <c r="Y11" s="120" t="s">
        <v>323</v>
      </c>
      <c r="Z11" s="120" t="s">
        <v>106</v>
      </c>
      <c r="AA11" s="120" t="s">
        <v>106</v>
      </c>
    </row>
    <row r="12" spans="1:27" ht="15.75" customHeight="1">
      <c r="A12" s="35" t="s">
        <v>58</v>
      </c>
      <c r="B12" s="119" t="s">
        <v>321</v>
      </c>
      <c r="C12" s="119" t="s">
        <v>321</v>
      </c>
      <c r="D12" s="120" t="s">
        <v>106</v>
      </c>
      <c r="E12" s="120" t="s">
        <v>106</v>
      </c>
      <c r="F12" s="120" t="s">
        <v>323</v>
      </c>
      <c r="G12" s="120" t="s">
        <v>330</v>
      </c>
      <c r="H12" s="120" t="s">
        <v>332</v>
      </c>
      <c r="I12" s="120" t="s">
        <v>327</v>
      </c>
      <c r="J12" s="120" t="s">
        <v>2</v>
      </c>
      <c r="K12" s="120" t="s">
        <v>2</v>
      </c>
      <c r="L12" s="120" t="s">
        <v>324</v>
      </c>
      <c r="M12" s="120" t="s">
        <v>329</v>
      </c>
      <c r="N12" s="120" t="s">
        <v>3</v>
      </c>
      <c r="O12" s="120" t="s">
        <v>3</v>
      </c>
      <c r="P12" s="120" t="s">
        <v>328</v>
      </c>
      <c r="Q12" s="120" t="s">
        <v>331</v>
      </c>
      <c r="R12" s="120" t="s">
        <v>325</v>
      </c>
      <c r="S12" s="120" t="s">
        <v>325</v>
      </c>
      <c r="T12" s="120" t="s">
        <v>322</v>
      </c>
      <c r="U12" s="120" t="s">
        <v>322</v>
      </c>
      <c r="V12" s="120" t="s">
        <v>326</v>
      </c>
      <c r="W12" s="120" t="s">
        <v>328</v>
      </c>
      <c r="X12" s="120" t="s">
        <v>327</v>
      </c>
      <c r="Y12" s="120" t="s">
        <v>325</v>
      </c>
      <c r="Z12" s="120" t="s">
        <v>324</v>
      </c>
      <c r="AA12" s="120" t="s">
        <v>325</v>
      </c>
    </row>
    <row r="13" spans="1:27" ht="15.75" customHeight="1">
      <c r="A13" s="35" t="s">
        <v>336</v>
      </c>
      <c r="B13" s="119" t="s">
        <v>321</v>
      </c>
      <c r="C13" s="119" t="s">
        <v>321</v>
      </c>
      <c r="D13" s="120" t="s">
        <v>329</v>
      </c>
      <c r="E13" s="120" t="s">
        <v>327</v>
      </c>
      <c r="F13" s="120" t="s">
        <v>325</v>
      </c>
      <c r="G13" s="120" t="s">
        <v>327</v>
      </c>
      <c r="H13" s="120" t="s">
        <v>331</v>
      </c>
      <c r="I13" s="120" t="s">
        <v>330</v>
      </c>
      <c r="J13" s="120" t="s">
        <v>328</v>
      </c>
      <c r="K13" s="120" t="s">
        <v>324</v>
      </c>
      <c r="L13" s="120" t="s">
        <v>2</v>
      </c>
      <c r="M13" s="120" t="s">
        <v>2</v>
      </c>
      <c r="N13" s="120" t="s">
        <v>328</v>
      </c>
      <c r="O13" s="120" t="s">
        <v>326</v>
      </c>
      <c r="P13" s="120" t="s">
        <v>3</v>
      </c>
      <c r="Q13" s="120" t="s">
        <v>3</v>
      </c>
      <c r="R13" s="120" t="s">
        <v>322</v>
      </c>
      <c r="S13" s="120" t="s">
        <v>322</v>
      </c>
      <c r="T13" s="120" t="s">
        <v>325</v>
      </c>
      <c r="U13" s="120" t="s">
        <v>323</v>
      </c>
      <c r="V13" s="120" t="s">
        <v>332</v>
      </c>
      <c r="W13" s="120" t="s">
        <v>324</v>
      </c>
      <c r="X13" s="120" t="s">
        <v>325</v>
      </c>
      <c r="Y13" s="120" t="s">
        <v>325</v>
      </c>
      <c r="Z13" s="120" t="s">
        <v>106</v>
      </c>
      <c r="AA13" s="120" t="s">
        <v>106</v>
      </c>
    </row>
    <row r="14" spans="1:27" ht="15.75" customHeight="1">
      <c r="A14" s="35" t="s">
        <v>337</v>
      </c>
      <c r="B14" s="119" t="s">
        <v>321</v>
      </c>
      <c r="C14" s="119" t="s">
        <v>321</v>
      </c>
      <c r="D14" s="120" t="s">
        <v>326</v>
      </c>
      <c r="E14" s="120" t="s">
        <v>325</v>
      </c>
      <c r="F14" s="120" t="s">
        <v>327</v>
      </c>
      <c r="G14" s="120" t="s">
        <v>329</v>
      </c>
      <c r="H14" s="120" t="s">
        <v>2</v>
      </c>
      <c r="I14" s="120" t="s">
        <v>2</v>
      </c>
      <c r="J14" s="120" t="s">
        <v>325</v>
      </c>
      <c r="K14" s="120" t="s">
        <v>328</v>
      </c>
      <c r="L14" s="120" t="s">
        <v>325</v>
      </c>
      <c r="M14" s="120" t="s">
        <v>324</v>
      </c>
      <c r="N14" s="120" t="s">
        <v>331</v>
      </c>
      <c r="O14" s="120" t="s">
        <v>332</v>
      </c>
      <c r="P14" s="120" t="s">
        <v>322</v>
      </c>
      <c r="Q14" s="120" t="s">
        <v>322</v>
      </c>
      <c r="R14" s="120" t="s">
        <v>3</v>
      </c>
      <c r="S14" s="120" t="s">
        <v>3</v>
      </c>
      <c r="T14" s="120" t="s">
        <v>330</v>
      </c>
      <c r="U14" s="120" t="s">
        <v>327</v>
      </c>
      <c r="V14" s="120" t="s">
        <v>324</v>
      </c>
      <c r="W14" s="120" t="s">
        <v>323</v>
      </c>
      <c r="X14" s="120" t="s">
        <v>106</v>
      </c>
      <c r="Y14" s="120" t="s">
        <v>106</v>
      </c>
      <c r="Z14" s="120" t="s">
        <v>325</v>
      </c>
      <c r="AA14" s="120" t="s">
        <v>328</v>
      </c>
    </row>
    <row r="15" spans="1:27" ht="15.75" customHeight="1">
      <c r="A15" s="35" t="s">
        <v>51</v>
      </c>
      <c r="B15" s="119" t="s">
        <v>321</v>
      </c>
      <c r="C15" s="119" t="s">
        <v>321</v>
      </c>
      <c r="D15" s="120" t="s">
        <v>325</v>
      </c>
      <c r="E15" s="120" t="s">
        <v>330</v>
      </c>
      <c r="F15" s="120" t="s">
        <v>328</v>
      </c>
      <c r="G15" s="120" t="s">
        <v>323</v>
      </c>
      <c r="H15" s="120" t="s">
        <v>106</v>
      </c>
      <c r="I15" s="120" t="s">
        <v>106</v>
      </c>
      <c r="J15" s="120" t="s">
        <v>324</v>
      </c>
      <c r="K15" s="120" t="s">
        <v>327</v>
      </c>
      <c r="L15" s="120" t="s">
        <v>329</v>
      </c>
      <c r="M15" s="120" t="s">
        <v>325</v>
      </c>
      <c r="N15" s="120" t="s">
        <v>2</v>
      </c>
      <c r="O15" s="120" t="s">
        <v>2</v>
      </c>
      <c r="P15" s="120" t="s">
        <v>332</v>
      </c>
      <c r="Q15" s="120" t="s">
        <v>326</v>
      </c>
      <c r="R15" s="120" t="s">
        <v>327</v>
      </c>
      <c r="S15" s="120" t="s">
        <v>331</v>
      </c>
      <c r="T15" s="120" t="s">
        <v>328</v>
      </c>
      <c r="U15" s="120" t="s">
        <v>325</v>
      </c>
      <c r="V15" s="120" t="s">
        <v>322</v>
      </c>
      <c r="W15" s="120" t="s">
        <v>322</v>
      </c>
      <c r="X15" s="120" t="s">
        <v>3</v>
      </c>
      <c r="Y15" s="120" t="s">
        <v>3</v>
      </c>
      <c r="Z15" s="120" t="s">
        <v>325</v>
      </c>
      <c r="AA15" s="120" t="s">
        <v>324</v>
      </c>
    </row>
    <row r="16" spans="1:27" ht="15.75" customHeight="1">
      <c r="A16" s="35" t="s">
        <v>61</v>
      </c>
      <c r="B16" s="119" t="s">
        <v>321</v>
      </c>
      <c r="C16" s="119" t="s">
        <v>321</v>
      </c>
      <c r="D16" s="120" t="s">
        <v>332</v>
      </c>
      <c r="E16" s="120" t="s">
        <v>323</v>
      </c>
      <c r="F16" s="120" t="s">
        <v>327</v>
      </c>
      <c r="G16" s="120" t="s">
        <v>324</v>
      </c>
      <c r="H16" s="120" t="s">
        <v>326</v>
      </c>
      <c r="I16" s="120" t="s">
        <v>325</v>
      </c>
      <c r="J16" s="120" t="s">
        <v>106</v>
      </c>
      <c r="K16" s="120" t="s">
        <v>106</v>
      </c>
      <c r="L16" s="120" t="s">
        <v>322</v>
      </c>
      <c r="M16" s="120" t="s">
        <v>322</v>
      </c>
      <c r="N16" s="120" t="s">
        <v>328</v>
      </c>
      <c r="O16" s="120" t="s">
        <v>330</v>
      </c>
      <c r="P16" s="121" t="s">
        <v>2</v>
      </c>
      <c r="Q16" s="121" t="s">
        <v>2</v>
      </c>
      <c r="R16" s="120" t="s">
        <v>325</v>
      </c>
      <c r="S16" s="120" t="s">
        <v>327</v>
      </c>
      <c r="T16" s="120" t="s">
        <v>324</v>
      </c>
      <c r="U16" s="120" t="s">
        <v>325</v>
      </c>
      <c r="V16" s="120" t="s">
        <v>3</v>
      </c>
      <c r="W16" s="120" t="s">
        <v>3</v>
      </c>
      <c r="X16" s="120" t="s">
        <v>328</v>
      </c>
      <c r="Y16" s="120" t="s">
        <v>329</v>
      </c>
      <c r="Z16" s="120" t="s">
        <v>331</v>
      </c>
      <c r="AA16" s="120" t="s">
        <v>325</v>
      </c>
    </row>
    <row r="17" spans="1:27" ht="15.75" customHeight="1">
      <c r="A17" s="35" t="s">
        <v>73</v>
      </c>
      <c r="B17" s="119" t="s">
        <v>321</v>
      </c>
      <c r="C17" s="119" t="s">
        <v>321</v>
      </c>
      <c r="D17" s="120" t="s">
        <v>323</v>
      </c>
      <c r="E17" s="120" t="s">
        <v>326</v>
      </c>
      <c r="F17" s="120" t="s">
        <v>322</v>
      </c>
      <c r="G17" s="120" t="s">
        <v>322</v>
      </c>
      <c r="H17" s="120" t="s">
        <v>2</v>
      </c>
      <c r="I17" s="120" t="s">
        <v>2</v>
      </c>
      <c r="J17" s="120" t="s">
        <v>325</v>
      </c>
      <c r="K17" s="120" t="s">
        <v>329</v>
      </c>
      <c r="L17" s="120" t="s">
        <v>328</v>
      </c>
      <c r="M17" s="120" t="s">
        <v>325</v>
      </c>
      <c r="N17" s="120" t="s">
        <v>324</v>
      </c>
      <c r="O17" s="120" t="s">
        <v>325</v>
      </c>
      <c r="P17" s="120" t="s">
        <v>106</v>
      </c>
      <c r="Q17" s="120" t="s">
        <v>106</v>
      </c>
      <c r="R17" s="120" t="s">
        <v>328</v>
      </c>
      <c r="S17" s="120" t="s">
        <v>325</v>
      </c>
      <c r="T17" s="120" t="s">
        <v>3</v>
      </c>
      <c r="U17" s="120" t="s">
        <v>3</v>
      </c>
      <c r="V17" s="120" t="s">
        <v>327</v>
      </c>
      <c r="W17" s="120" t="s">
        <v>324</v>
      </c>
      <c r="X17" s="120" t="s">
        <v>332</v>
      </c>
      <c r="Y17" s="120" t="s">
        <v>330</v>
      </c>
      <c r="Z17" s="120" t="s">
        <v>327</v>
      </c>
      <c r="AA17" s="120" t="s">
        <v>331</v>
      </c>
    </row>
    <row r="18" spans="1:27" ht="15.75" customHeight="1">
      <c r="A18" s="35" t="s">
        <v>338</v>
      </c>
      <c r="B18" s="119" t="s">
        <v>321</v>
      </c>
      <c r="C18" s="119" t="s">
        <v>321</v>
      </c>
      <c r="D18" s="120" t="s">
        <v>327</v>
      </c>
      <c r="E18" s="120" t="s">
        <v>328</v>
      </c>
      <c r="F18" s="120" t="s">
        <v>3</v>
      </c>
      <c r="G18" s="120" t="s">
        <v>3</v>
      </c>
      <c r="H18" s="120" t="s">
        <v>325</v>
      </c>
      <c r="I18" s="120" t="s">
        <v>329</v>
      </c>
      <c r="J18" s="120" t="s">
        <v>2</v>
      </c>
      <c r="K18" s="120" t="s">
        <v>2</v>
      </c>
      <c r="L18" s="120" t="s">
        <v>324</v>
      </c>
      <c r="M18" s="120" t="s">
        <v>328</v>
      </c>
      <c r="N18" s="120" t="s">
        <v>325</v>
      </c>
      <c r="O18" s="120" t="s">
        <v>323</v>
      </c>
      <c r="P18" s="120" t="s">
        <v>327</v>
      </c>
      <c r="Q18" s="120" t="s">
        <v>330</v>
      </c>
      <c r="R18" s="120" t="s">
        <v>324</v>
      </c>
      <c r="S18" s="120" t="s">
        <v>332</v>
      </c>
      <c r="T18" s="120" t="s">
        <v>106</v>
      </c>
      <c r="U18" s="120" t="s">
        <v>106</v>
      </c>
      <c r="V18" s="120" t="s">
        <v>331</v>
      </c>
      <c r="W18" s="120" t="s">
        <v>325</v>
      </c>
      <c r="X18" s="120" t="s">
        <v>322</v>
      </c>
      <c r="Y18" s="120" t="s">
        <v>322</v>
      </c>
      <c r="Z18" s="120" t="s">
        <v>325</v>
      </c>
      <c r="AA18" s="120" t="s">
        <v>326</v>
      </c>
    </row>
    <row r="19" spans="1:27" ht="15.75" customHeight="1">
      <c r="A19" s="35" t="s">
        <v>56</v>
      </c>
      <c r="B19" s="119" t="s">
        <v>321</v>
      </c>
      <c r="C19" s="119" t="s">
        <v>321</v>
      </c>
      <c r="D19" s="120" t="s">
        <v>328</v>
      </c>
      <c r="E19" s="120" t="s">
        <v>325</v>
      </c>
      <c r="F19" s="120" t="s">
        <v>2</v>
      </c>
      <c r="G19" s="120" t="s">
        <v>2</v>
      </c>
      <c r="H19" s="120" t="s">
        <v>325</v>
      </c>
      <c r="I19" s="120" t="s">
        <v>328</v>
      </c>
      <c r="J19" s="120" t="s">
        <v>332</v>
      </c>
      <c r="K19" s="120" t="s">
        <v>325</v>
      </c>
      <c r="L19" s="120" t="s">
        <v>324</v>
      </c>
      <c r="M19" s="120" t="s">
        <v>323</v>
      </c>
      <c r="N19" s="120" t="s">
        <v>322</v>
      </c>
      <c r="O19" s="120" t="s">
        <v>322</v>
      </c>
      <c r="P19" s="120" t="s">
        <v>325</v>
      </c>
      <c r="Q19" s="120" t="s">
        <v>327</v>
      </c>
      <c r="R19" s="120" t="s">
        <v>327</v>
      </c>
      <c r="S19" s="120" t="s">
        <v>329</v>
      </c>
      <c r="T19" s="120" t="s">
        <v>326</v>
      </c>
      <c r="U19" s="120" t="s">
        <v>324</v>
      </c>
      <c r="V19" s="120" t="s">
        <v>106</v>
      </c>
      <c r="W19" s="120" t="s">
        <v>106</v>
      </c>
      <c r="X19" s="120" t="s">
        <v>330</v>
      </c>
      <c r="Y19" s="120" t="s">
        <v>331</v>
      </c>
      <c r="Z19" s="120" t="s">
        <v>3</v>
      </c>
      <c r="AA19" s="120" t="s">
        <v>3</v>
      </c>
    </row>
    <row r="20" spans="1:27" ht="15.75" customHeight="1">
      <c r="A20" s="35" t="s">
        <v>339</v>
      </c>
      <c r="B20" s="119" t="s">
        <v>321</v>
      </c>
      <c r="C20" s="119" t="s">
        <v>321</v>
      </c>
      <c r="D20" s="120" t="s">
        <v>325</v>
      </c>
      <c r="E20" s="120" t="s">
        <v>332</v>
      </c>
      <c r="F20" s="120" t="s">
        <v>325</v>
      </c>
      <c r="G20" s="120" t="s">
        <v>328</v>
      </c>
      <c r="H20" s="120" t="s">
        <v>329</v>
      </c>
      <c r="I20" s="120" t="s">
        <v>325</v>
      </c>
      <c r="J20" s="120" t="s">
        <v>3</v>
      </c>
      <c r="K20" s="120" t="s">
        <v>3</v>
      </c>
      <c r="L20" s="120" t="s">
        <v>2</v>
      </c>
      <c r="M20" s="120" t="s">
        <v>2</v>
      </c>
      <c r="N20" s="120" t="s">
        <v>323</v>
      </c>
      <c r="O20" s="120" t="s">
        <v>324</v>
      </c>
      <c r="P20" s="120" t="s">
        <v>331</v>
      </c>
      <c r="Q20" s="120" t="s">
        <v>327</v>
      </c>
      <c r="R20" s="120" t="s">
        <v>106</v>
      </c>
      <c r="S20" s="120" t="s">
        <v>106</v>
      </c>
      <c r="T20" s="120" t="s">
        <v>325</v>
      </c>
      <c r="U20" s="120" t="s">
        <v>328</v>
      </c>
      <c r="V20" s="120" t="s">
        <v>330</v>
      </c>
      <c r="W20" s="120" t="s">
        <v>326</v>
      </c>
      <c r="X20" s="120" t="s">
        <v>324</v>
      </c>
      <c r="Y20" s="120" t="s">
        <v>327</v>
      </c>
      <c r="Z20" s="120" t="s">
        <v>322</v>
      </c>
      <c r="AA20" s="120" t="s">
        <v>322</v>
      </c>
    </row>
    <row r="21" spans="1:27" ht="15.75" customHeight="1">
      <c r="A21" s="122"/>
      <c r="B21" s="36"/>
      <c r="C21" s="36"/>
      <c r="D21" s="36"/>
      <c r="E21" s="36"/>
      <c r="F21" s="36"/>
      <c r="G21" s="92"/>
      <c r="H21" s="92"/>
      <c r="I21" s="92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 ht="15.75" customHeight="1">
      <c r="B22" s="216" t="s">
        <v>340</v>
      </c>
      <c r="C22" s="217"/>
      <c r="D22" s="217"/>
      <c r="E22" s="217"/>
      <c r="F22" s="217"/>
      <c r="G22" s="21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5.75" customHeight="1">
      <c r="B23" s="219" t="s">
        <v>341</v>
      </c>
      <c r="C23" s="211"/>
      <c r="D23" s="211"/>
      <c r="E23" s="211"/>
      <c r="F23" s="211"/>
      <c r="G23" s="212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5.75" customHeight="1">
      <c r="B24" s="220" t="s">
        <v>342</v>
      </c>
      <c r="C24" s="211"/>
      <c r="D24" s="211"/>
      <c r="E24" s="211"/>
      <c r="F24" s="211"/>
      <c r="G24" s="212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5.75" customHeight="1">
      <c r="B25" s="221" t="s">
        <v>343</v>
      </c>
      <c r="C25" s="211"/>
      <c r="D25" s="211"/>
      <c r="E25" s="211"/>
      <c r="F25" s="211"/>
      <c r="G25" s="212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5.75" customHeight="1">
      <c r="B26" s="222" t="s">
        <v>344</v>
      </c>
      <c r="C26" s="211"/>
      <c r="D26" s="211"/>
      <c r="E26" s="211"/>
      <c r="F26" s="211"/>
      <c r="G26" s="212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5.75" customHeight="1">
      <c r="B27" s="223" t="s">
        <v>345</v>
      </c>
      <c r="C27" s="211"/>
      <c r="D27" s="211"/>
      <c r="E27" s="211"/>
      <c r="F27" s="211"/>
      <c r="G27" s="212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5.75" customHeight="1">
      <c r="B28" s="224" t="s">
        <v>346</v>
      </c>
      <c r="C28" s="211"/>
      <c r="D28" s="211"/>
      <c r="E28" s="211"/>
      <c r="F28" s="211"/>
      <c r="G28" s="212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5.75" customHeight="1">
      <c r="B29" s="227" t="s">
        <v>347</v>
      </c>
      <c r="C29" s="211"/>
      <c r="D29" s="211"/>
      <c r="E29" s="211"/>
      <c r="F29" s="211"/>
      <c r="G29" s="212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5.75" customHeight="1">
      <c r="B30" s="228" t="s">
        <v>348</v>
      </c>
      <c r="C30" s="211"/>
      <c r="D30" s="211"/>
      <c r="E30" s="211"/>
      <c r="F30" s="211"/>
      <c r="G30" s="212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5.75" customHeight="1">
      <c r="B31" s="229" t="s">
        <v>349</v>
      </c>
      <c r="C31" s="211"/>
      <c r="D31" s="211"/>
      <c r="E31" s="211"/>
      <c r="F31" s="211"/>
      <c r="G31" s="212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5.75" customHeight="1">
      <c r="B32" s="230" t="s">
        <v>350</v>
      </c>
      <c r="C32" s="211"/>
      <c r="D32" s="211"/>
      <c r="E32" s="211"/>
      <c r="F32" s="211"/>
      <c r="G32" s="212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2:27" ht="15.75" customHeight="1">
      <c r="B33" s="231" t="s">
        <v>351</v>
      </c>
      <c r="C33" s="211"/>
      <c r="D33" s="211"/>
      <c r="E33" s="211"/>
      <c r="F33" s="211"/>
      <c r="G33" s="212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2:27" ht="15.75" customHeight="1">
      <c r="B34" s="232" t="s">
        <v>352</v>
      </c>
      <c r="C34" s="211"/>
      <c r="D34" s="211"/>
      <c r="E34" s="211"/>
      <c r="F34" s="211"/>
      <c r="G34" s="212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2:27" ht="15.75" customHeight="1">
      <c r="B35" s="233" t="s">
        <v>353</v>
      </c>
      <c r="C35" s="211"/>
      <c r="D35" s="211"/>
      <c r="E35" s="211"/>
      <c r="F35" s="211"/>
      <c r="G35" s="212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2:27" ht="15.75" customHeight="1">
      <c r="B36" s="225" t="s">
        <v>354</v>
      </c>
      <c r="C36" s="211"/>
      <c r="D36" s="211"/>
      <c r="E36" s="211"/>
      <c r="F36" s="211"/>
      <c r="G36" s="212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2:27" ht="15.75" customHeight="1">
      <c r="B37" s="226" t="s">
        <v>355</v>
      </c>
      <c r="C37" s="211"/>
      <c r="D37" s="211"/>
      <c r="E37" s="211"/>
      <c r="F37" s="211"/>
      <c r="G37" s="212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7" ht="15.75" customHeight="1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2:27" ht="15.75" customHeight="1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2:27" ht="15.75" customHeight="1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15.75" customHeight="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2:27" ht="15.75" customHeight="1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2:27" ht="15.75" customHeight="1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2:27" ht="15.75" customHeight="1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2:27" ht="15.75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2:27" ht="15.75" customHeight="1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2:27" ht="15.75" customHeight="1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2:27" ht="15.75" customHeight="1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2:27" ht="15.75" customHeight="1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2:27" ht="15.75" customHeigh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2:27" ht="15.75" customHeight="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2:27" ht="15.75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2:27" ht="15.75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2:27" ht="15.75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15.75" customHeight="1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2:27" ht="15.75" customHeight="1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2:27" ht="15.75" customHeight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2:27" ht="15.75" customHeight="1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2:27" ht="15.75" customHeight="1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2:27" ht="15.75" customHeight="1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2:27" ht="15.75" customHeight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2:27" ht="15.75" customHeight="1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2:27" ht="15.75" customHeight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2:27" ht="15.75" customHeight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2:27" ht="15.75" customHeight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2:27" ht="15.75" customHeight="1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2:27" ht="13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2:27" ht="13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2:27" ht="13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2:27" ht="13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2:27" ht="13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2:27" ht="13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2:27" ht="13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2:27" ht="13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2:27" ht="13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2:27" ht="13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2:27" ht="13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2:27" ht="13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2:27" ht="13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2:27" ht="13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2:27" ht="13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2:27" ht="13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2:27" ht="1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2:27" ht="13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2:27" ht="13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2:27" ht="13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2:27" ht="13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2:27" ht="13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2:27" ht="13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2:27" ht="13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2:27" ht="13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2:27" ht="13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2:27" ht="1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2:27" ht="13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2:27" ht="13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2:27" ht="13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2:27" ht="13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2:27" ht="13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2:27" ht="13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2:27" ht="13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2:27" ht="13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2:27" ht="13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2:27" ht="13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2:27" ht="13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2:27" ht="13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2:27" ht="13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2:27" ht="13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2:27" ht="13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2:27" ht="13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2:27" ht="13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2:27" ht="13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2:27" ht="13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2:27" ht="13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2:27" ht="13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2:27" ht="13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2:27" ht="13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2:27" ht="13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2:27" ht="13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2:27" ht="13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2:27" ht="13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2:27" ht="13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2:27" ht="13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2:27" ht="1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2:27" ht="13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2:27" ht="13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2:27" ht="13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2:27" ht="13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2:27" ht="13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2:27" ht="13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2:27" ht="13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2:27" ht="13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2:27" ht="13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2:27" ht="13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2:27" ht="13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2:27" ht="13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2:27" ht="13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2:27" ht="13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2:27" ht="13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2:27" ht="13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2:27" ht="13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2:27" ht="13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2:27" ht="13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2:27" ht="13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2:27" ht="13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2:27" ht="13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2:27" ht="13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2:27" ht="13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2:27" ht="13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2:27" ht="13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2:27" ht="13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2:27" ht="13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2:27" ht="13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2:27" ht="1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2:27" ht="13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2:27" ht="13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2:27" ht="13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2:27" ht="13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2:27" ht="13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2:27" ht="13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2:27" ht="13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2:27" ht="13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2:27" ht="13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2:27" ht="13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2:27" ht="13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2:27" ht="13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2:27" ht="13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2:27" ht="13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2:27" ht="13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2:27" ht="13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2:27" ht="13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2:27" ht="13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2:27" ht="13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2:27" ht="13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2:27" ht="13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2:27" ht="13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2:27" ht="13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2:27" ht="13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2:27" ht="13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2:27" ht="13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2:27" ht="13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2:27" ht="13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2:27" ht="13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2:27" ht="13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2:27" ht="13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2:27" ht="13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2:27" ht="13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2:27" ht="13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2:27" ht="13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2:27" ht="13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2:27" ht="13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2:27" ht="13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2:27" ht="13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2:27" ht="13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2:27" ht="13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2:27" ht="13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2:27" ht="13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2:27" ht="13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2:27" ht="13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2:27" ht="13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2:27" ht="13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2:27" ht="13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2:27" ht="13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2:27" ht="13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2:27" ht="13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2:27" ht="13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2:27" ht="13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2:27" ht="13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2:27" ht="13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2:27" ht="13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2:27" ht="13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2:27" ht="13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2:27" ht="13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2:27" ht="13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2:27" ht="13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2:27" ht="13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2:27" ht="13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2:27" ht="13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2:27" ht="13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2:27" ht="13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2:27" ht="13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2:27" ht="13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2:27" ht="13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2:27" ht="13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2:27" ht="13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2:27" ht="13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2:27" ht="13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2:27" ht="13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2:27" ht="13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2:27" ht="13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2:27" ht="13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2:27" ht="13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2:27" ht="13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2:27" ht="13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2:27" ht="13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2:27" ht="13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2:27" ht="13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2:27" ht="13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2:27" ht="13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2:27" ht="13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2:27" ht="13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2:27" ht="13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2:27" ht="13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2:27" ht="13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2:27" ht="13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2:27" ht="13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2:27" ht="13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2:27" ht="13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2:27" ht="13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2:27" ht="13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2:27" ht="13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2:27" ht="13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2:27" ht="13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2:27" ht="13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2:27" ht="13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2:27" ht="13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2:27" ht="13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2:27" ht="13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2:27" ht="13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2:27" ht="13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2:27" ht="13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2:27" ht="13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2:27" ht="13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2:27" ht="13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2:27" ht="13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2:27" ht="13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2:27" ht="13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2:27" ht="13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2:27" ht="13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2:27" ht="13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2:27" ht="13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2:27" ht="13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2:27" ht="13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2:27" ht="13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2:27" ht="13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2:27" ht="13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2:27" ht="13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2:27" ht="13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2:27" ht="13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2:27" ht="13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2:27" ht="13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2:27" ht="13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2:27" ht="13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2:27" ht="13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2:27" ht="13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2:27" ht="13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2:27" ht="13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2:27" ht="13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2:27" ht="13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2:27" ht="13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2:27" ht="13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2:27" ht="13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2:27" ht="13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2:27" ht="13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2:27" ht="13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2:27" ht="13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2:27" ht="13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2:27" ht="13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2:27" ht="13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2:27" ht="13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2:27" ht="13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2:27" ht="13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2:27" ht="13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2:27" ht="13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2:27" ht="13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2:27" ht="13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2:27" ht="13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2:27" ht="13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2:27" ht="13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2:27" ht="13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2:27" ht="13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2:27" ht="13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2:27" ht="13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2:27" ht="13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2:27" ht="13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2:27" ht="13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2:27" ht="13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2:27" ht="13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2:27" ht="13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2:27" ht="13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2:27" ht="13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2:27" ht="13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2:27" ht="13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2:27" ht="13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2:27" ht="13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2:27" ht="13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2:27" ht="13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2:27" ht="13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2:27" ht="13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2:27" ht="13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2:27" ht="13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2:27" ht="13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2:27" ht="13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2:27" ht="13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2:27" ht="13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2:27" ht="13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2:27" ht="13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2:27" ht="13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2:27" ht="13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2:27" ht="13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2:27" ht="13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2:27" ht="13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2:27" ht="13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2:27" ht="13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2:27" ht="13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2:27" ht="13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2:27" ht="13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2:27" ht="13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2:27" ht="13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2:27" ht="13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2:27" ht="13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2:27" ht="13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2:27" ht="13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2:27" ht="13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2:27" ht="13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2:27" ht="13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2:27" ht="13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2:27" ht="13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2:27" ht="13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2:27" ht="13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2:27" ht="13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2:27" ht="13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2:27" ht="13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2:27" ht="13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2:27" ht="13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2:27" ht="13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2:27" ht="13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2:27" ht="13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2:27" ht="13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2:27" ht="13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2:27" ht="13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2:27" ht="13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2:27" ht="13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2:27" ht="13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2:27" ht="13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2:27" ht="13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2:27" ht="13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2:27" ht="13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2:27" ht="13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2:27" ht="13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2:27" ht="13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2:27" ht="13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2:27" ht="13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2:27" ht="13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2:27" ht="13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2:27" ht="13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2:27" ht="13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2:27" ht="13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2:27" ht="13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2:27" ht="13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2:27" ht="13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2:27" ht="13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2:27" ht="13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2:27" ht="13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2:27" ht="13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2:27" ht="13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2:27" ht="13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2:27" ht="13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2:27" ht="13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2:27" ht="13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2:27" ht="13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2:27" ht="13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2:27" ht="13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2:27" ht="13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2:27" ht="13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2:27" ht="13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2:27" ht="13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2:27" ht="13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2:27" ht="13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2:27" ht="13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2:27" ht="13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2:27" ht="13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2:27" ht="13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2:27" ht="13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2:27" ht="13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2:27" ht="13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2:27" ht="13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2:27" ht="13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2:27" ht="13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2:27" ht="13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2:27" ht="13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2:27" ht="13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2:27" ht="13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2:27" ht="13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2:27" ht="13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2:27" ht="13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2:27" ht="13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2:27" ht="13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2:27" ht="13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2:27" ht="13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2:27" ht="13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2:27" ht="13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2:27" ht="13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2:27" ht="13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2:27" ht="13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2:27" ht="13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2:27" ht="13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2:27" ht="13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2:27" ht="13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2:27" ht="13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2:27" ht="13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2:27" ht="13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2:27" ht="13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2:27" ht="13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2:27" ht="13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2:27" ht="13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2:27" ht="13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2:27" ht="13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2:27" ht="13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2:27" ht="13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2:27" ht="13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2:27" ht="13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2:27" ht="13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2:27" ht="13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2:27" ht="13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2:27" ht="13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2:27" ht="13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2:27" ht="13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2:27" ht="13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2:27" ht="13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2:27" ht="13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2:27" ht="13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2:27" ht="13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2:27" ht="13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2:27" ht="13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2:27" ht="13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2:27" ht="13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2:27" ht="13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2:27" ht="13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2:27" ht="13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2:27" ht="13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2:27" ht="13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2:27" ht="13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2:27" ht="13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2:27" ht="13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2:27" ht="13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2:27" ht="13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2:27" ht="13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2:27" ht="13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2:27" ht="13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2:27" ht="13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2:27" ht="13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2:27" ht="13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2:27" ht="13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2:27" ht="13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2:27" ht="13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2:27" ht="13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2:27" ht="13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2:27" ht="13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2:27" ht="13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2:27" ht="13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2:27" ht="13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2:27" ht="13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2:27" ht="13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2:27" ht="13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2:27" ht="13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2:27" ht="13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2:27" ht="13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2:27" ht="13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2:27" ht="13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2:27" ht="13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2:27" ht="13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2:27" ht="13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2:27" ht="13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2:27" ht="13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2:27" ht="13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2:27" ht="13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2:27" ht="13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2:27" ht="13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2:27" ht="13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2:27" ht="13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2:27" ht="13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2:27" ht="13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2:27" ht="13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2:27" ht="13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2:27" ht="13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2:27" ht="13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2:27" ht="13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2:27" ht="13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2:27" ht="13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2:27" ht="13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2:27" ht="13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2:27" ht="13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2:27" ht="13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2:27" ht="13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2:27" ht="13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2:27" ht="13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2:27" ht="13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2:27" ht="13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2:27" ht="13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2:27" ht="13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2:27" ht="13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2:27" ht="13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2:27" ht="13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2:27" ht="13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2:27" ht="13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2:27" ht="13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2:27" ht="13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2:27" ht="13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2:27" ht="13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2:27" ht="13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2:27" ht="13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2:27" ht="13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2:27" ht="13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2:27" ht="13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2:27" ht="13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2:27" ht="13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2:27" ht="13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2:27" ht="13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2:27" ht="13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2:27" ht="13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2:27" ht="13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2:27" ht="13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2:27" ht="13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2:27" ht="13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2:27" ht="13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2:27" ht="13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2:27" ht="13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2:27" ht="13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2:27" ht="13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2:27" ht="13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2:27" ht="13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2:27" ht="13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2:27" ht="13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2:27" ht="13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2:27" ht="13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2:27" ht="13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2:27" ht="13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2:27" ht="13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2:27" ht="13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2:27" ht="13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2:27" ht="13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2:27" ht="13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2:27" ht="13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2:27" ht="13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2:27" ht="13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2:27" ht="13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2:27" ht="13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2:27" ht="13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2:27" ht="13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2:27" ht="13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2:27" ht="13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2:27" ht="13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2:27" ht="13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2:27" ht="13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2:27" ht="13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2:27" ht="13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2:27" ht="13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2:27" ht="13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2:27" ht="13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2:27" ht="13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2:27" ht="13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2:27" ht="13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2:27" ht="13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2:27" ht="13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2:27" ht="13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2:27" ht="13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2:27" ht="13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2:27" ht="13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2:27" ht="13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2:27" ht="13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2:27" ht="13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2:27" ht="13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2:27" ht="13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2:27" ht="13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2:27" ht="13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2:27" ht="13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2:27" ht="13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2:27" ht="13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2:27" ht="13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2:27" ht="13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2:27" ht="13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2:27" ht="13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2:27" ht="13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2:27" ht="13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2:27" ht="13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2:27" ht="13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2:27" ht="13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2:27" ht="13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2:27" ht="13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2:27" ht="13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2:27" ht="13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2:27" ht="13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2:27" ht="13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2:27" ht="13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2:27" ht="13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2:27" ht="13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2:27" ht="13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2:27" ht="13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2:27" ht="13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2:27" ht="13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2:27" ht="13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2:27" ht="13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2:27" ht="13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2:27" ht="13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2:27" ht="13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2:27" ht="13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2:27" ht="13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2:27" ht="13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2:27" ht="13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2:27" ht="13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2:27" ht="13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2:27" ht="13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2:27" ht="13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2:27" ht="13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2:27" ht="13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2:27" ht="13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2:27" ht="13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2:27" ht="13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2:27" ht="13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2:27" ht="13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2:27" ht="13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2:27" ht="13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2:27" ht="13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2:27" ht="13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2:27" ht="13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2:27" ht="13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2:27" ht="13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2:27" ht="13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2:27" ht="13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2:27" ht="13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2:27" ht="13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2:27" ht="13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2:27" ht="13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2:27" ht="13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2:27" ht="13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2:27" ht="13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2:27" ht="13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2:27" ht="13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2:27" ht="13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2:27" ht="13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2:27" ht="13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2:27" ht="13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2:27" ht="13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2:27" ht="13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2:27" ht="13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2:27" ht="13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2:27" ht="13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2:27" ht="13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2:27" ht="13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2:27" ht="13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2:27" ht="13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2:27" ht="13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2:27" ht="13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2:27" ht="13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2:27" ht="13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2:27" ht="13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2:27" ht="13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2:27" ht="13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2:27" ht="13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2:27" ht="13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2:27" ht="13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2:27" ht="13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2:27" ht="13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2:27" ht="13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2:27" ht="13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2:27" ht="13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2:27" ht="13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2:27" ht="13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2:27" ht="13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2:27" ht="13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2:27" ht="13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2:27" ht="13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2:27" ht="13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2:27" ht="13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2:27" ht="13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2:27" ht="13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2:27" ht="13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2:27" ht="13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2:27" ht="13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2:27" ht="13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2:27" ht="13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2:27" ht="13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2:27" ht="13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2:27" ht="13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2:27" ht="13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2:27" ht="13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2:27" ht="13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2:27" ht="13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2:27" ht="13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2:27" ht="13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2:27" ht="13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2:27" ht="13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2:27" ht="13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2:27" ht="13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2:27" ht="13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2:27" ht="13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2:27" ht="13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2:27" ht="13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2:27" ht="13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2:27" ht="13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2:27" ht="13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2:27" ht="13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2:27" ht="13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2:27" ht="13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2:27" ht="13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2:27" ht="13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2:27" ht="13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2:27" ht="13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2:27" ht="13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2:27" ht="13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2:27" ht="13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2:27" ht="13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2:27" ht="13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2:27" ht="13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2:27" ht="13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2:27" ht="13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2:27" ht="13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2:27" ht="13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2:27" ht="13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2:27" ht="13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2:27" ht="13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2:27" ht="13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2:27" ht="13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2:27" ht="13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2:27" ht="13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2:27" ht="13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2:27" ht="13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2:27" ht="13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2:27" ht="13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2:27" ht="13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2:27" ht="13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2:27" ht="13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2:27" ht="13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2:27" ht="13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2:27" ht="13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2:27" ht="13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2:27" ht="13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2:27" ht="13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2:27" ht="13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2:27" ht="13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2:27" ht="13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2:27" ht="13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2:27" ht="13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2:27" ht="13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2:27" ht="13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2:27" ht="13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2:27" ht="13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2:27" ht="13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2:27" ht="13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2:27" ht="13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2:27" ht="13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2:27" ht="13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2:27" ht="13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2:27" ht="13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2:27" ht="13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2:27" ht="13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2:27" ht="13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2:27" ht="13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2:27" ht="13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2:27" ht="13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2:27" ht="13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2:27" ht="13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2:27" ht="13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2:27" ht="13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2:27" ht="13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2:27" ht="13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2:27" ht="13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2:27" ht="13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2:27" ht="13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2:27" ht="13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2:27" ht="13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2:27" ht="13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2:27" ht="13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2:27" ht="13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2:27" ht="13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2:27" ht="13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2:27" ht="13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2:27" ht="13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2:27" ht="13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2:27" ht="13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2:27" ht="13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2:27" ht="13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2:27" ht="13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2:27" ht="13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2:27" ht="13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2:27" ht="13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2:27" ht="13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2:27" ht="13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2:27" ht="13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2:27" ht="13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2:27" ht="13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2:27" ht="13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2:27" ht="13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2:27" ht="13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2:27" ht="13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2:27" ht="13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2:27" ht="13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2:27" ht="13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2:27" ht="13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2:27" ht="13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2:27" ht="13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2:27" ht="13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2:27" ht="13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2:27" ht="13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2:27" ht="13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2:27" ht="13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2:27" ht="13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2:27" ht="13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2:27" ht="13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2:27" ht="13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2:27" ht="13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2:27" ht="13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2:27" ht="13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2:27" ht="13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2:27" ht="13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2:27" ht="13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2:27" ht="13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2:27" ht="13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2:27" ht="13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2:27" ht="13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2:27" ht="13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2:27" ht="13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2:27" ht="13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2:27" ht="13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2:27" ht="13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2:27" ht="13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2:27" ht="13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2:27" ht="13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2:27" ht="13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2:27" ht="13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2:27" ht="13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2:27" ht="13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2:27" ht="13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2:27" ht="13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2:27" ht="13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2:27" ht="13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2:27" ht="13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2:27" ht="13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2:27" ht="13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2:27" ht="13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2:27" ht="13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2:27" ht="13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2:27" ht="13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2:27" ht="13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2:27" ht="13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2:27" ht="13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2:27" ht="13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2:27" ht="13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2:27" ht="13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2:27" ht="13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2:27" ht="13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2:27" ht="13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2:27" ht="13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2:27" ht="13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2:27" ht="13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2:27" ht="13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2:27" ht="13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2:27" ht="13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2:27" ht="13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2:27" ht="13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2:27" ht="13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2:27" ht="13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2:27" ht="13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2:27" ht="13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2:27" ht="13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2:27" ht="13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2:27" ht="13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2:27" ht="13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2:27" ht="13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2:27" ht="13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2:27" ht="13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2:27" ht="13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2:27" ht="13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2:27" ht="13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2:27" ht="13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2:27" ht="13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2:27" ht="13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2:27" ht="13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2:27" ht="13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2:27" ht="13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2:27" ht="13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2:27" ht="13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2:27" ht="13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2:27" ht="13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2:27" ht="13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2:27" ht="13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2:27" ht="13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2:27" ht="13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2:27" ht="13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2:27" ht="13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2:27" ht="13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2:27" ht="13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2:27" ht="13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2:27" ht="13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2:27" ht="13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2:27" ht="13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2:27" ht="13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2:27" ht="13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2:27" ht="13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2:27" ht="13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2:27" ht="13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2:27" ht="13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2:27" ht="13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2:27" ht="13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2:27" ht="13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2:27" ht="13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2:27" ht="13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2:27" ht="13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2:27" ht="13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2:27" ht="13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2:27" ht="13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2:27" ht="13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2:27" ht="13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2:27" ht="13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2:27" ht="13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</sheetData>
  <mergeCells count="16">
    <mergeCell ref="B27:G27"/>
    <mergeCell ref="B28:G28"/>
    <mergeCell ref="B36:G36"/>
    <mergeCell ref="B37:G37"/>
    <mergeCell ref="B29:G29"/>
    <mergeCell ref="B30:G30"/>
    <mergeCell ref="B31:G31"/>
    <mergeCell ref="B32:G32"/>
    <mergeCell ref="B33:G33"/>
    <mergeCell ref="B34:G34"/>
    <mergeCell ref="B35:G35"/>
    <mergeCell ref="B22:G22"/>
    <mergeCell ref="B23:G23"/>
    <mergeCell ref="B24:G24"/>
    <mergeCell ref="B25:G25"/>
    <mergeCell ref="B26:G26"/>
  </mergeCells>
  <conditionalFormatting sqref="B1:AA20">
    <cfRule type="cellIs" dxfId="27" priority="2" operator="equal">
      <formula>"M"</formula>
    </cfRule>
    <cfRule type="cellIs" dxfId="26" priority="3" operator="equal">
      <formula>"BH"</formula>
    </cfRule>
    <cfRule type="cellIs" dxfId="25" priority="4" operator="equal">
      <formula>"PedB"</formula>
    </cfRule>
    <cfRule type="cellIs" dxfId="24" priority="5" operator="equal">
      <formula>"TH"</formula>
    </cfRule>
    <cfRule type="cellIs" dxfId="23" priority="6" operator="equal">
      <formula>"BK"</formula>
    </cfRule>
    <cfRule type="cellIs" dxfId="22" priority="7" operator="equal">
      <formula>"NICU"</formula>
    </cfRule>
    <cfRule type="cellIs" dxfId="21" priority="8" operator="equal">
      <formula>"SICU"</formula>
    </cfRule>
    <cfRule type="cellIs" dxfId="20" priority="9" operator="equal">
      <formula>"PSY"</formula>
    </cfRule>
    <cfRule type="cellIs" dxfId="19" priority="10" operator="equal">
      <formula>"T"</formula>
    </cfRule>
    <cfRule type="cellIs" dxfId="18" priority="11" operator="equal">
      <formula>"V"</formula>
    </cfRule>
    <cfRule type="cellIs" dxfId="17" priority="12" operator="equal">
      <formula>"PedT"</formula>
    </cfRule>
    <cfRule type="cellIs" dxfId="16" priority="13" operator="equal">
      <formula>"J"</formula>
    </cfRule>
    <cfRule type="cellIs" dxfId="15" priority="14" operator="equal">
      <formula>"AnUS"</formula>
    </cfRule>
  </conditionalFormatting>
  <conditionalFormatting sqref="D3:AA20">
    <cfRule type="cellIs" dxfId="14" priority="1" operator="equal">
      <formula>"MICU"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/>
  <cols>
    <col min="1" max="1" width="21" customWidth="1"/>
    <col min="2" max="11" width="6.83203125" customWidth="1"/>
    <col min="12" max="17" width="6.5" customWidth="1"/>
    <col min="18" max="22" width="6.83203125" customWidth="1"/>
    <col min="23" max="26" width="6.5" customWidth="1"/>
    <col min="27" max="27" width="6.83203125" customWidth="1"/>
  </cols>
  <sheetData>
    <row r="1" spans="1:27" ht="15.75" customHeight="1">
      <c r="A1" s="123"/>
      <c r="B1" s="124" t="s">
        <v>294</v>
      </c>
      <c r="C1" s="125" t="s">
        <v>295</v>
      </c>
      <c r="D1" s="126" t="s">
        <v>296</v>
      </c>
      <c r="E1" s="127" t="s">
        <v>297</v>
      </c>
      <c r="F1" s="124" t="s">
        <v>298</v>
      </c>
      <c r="G1" s="125" t="s">
        <v>299</v>
      </c>
      <c r="H1" s="128" t="s">
        <v>300</v>
      </c>
      <c r="I1" s="129" t="s">
        <v>301</v>
      </c>
      <c r="J1" s="124" t="s">
        <v>302</v>
      </c>
      <c r="K1" s="125" t="s">
        <v>303</v>
      </c>
      <c r="L1" s="126" t="s">
        <v>304</v>
      </c>
      <c r="M1" s="127" t="s">
        <v>305</v>
      </c>
      <c r="N1" s="130" t="s">
        <v>306</v>
      </c>
      <c r="O1" s="131" t="s">
        <v>307</v>
      </c>
      <c r="P1" s="128" t="s">
        <v>308</v>
      </c>
      <c r="Q1" s="129" t="s">
        <v>309</v>
      </c>
      <c r="R1" s="130" t="s">
        <v>310</v>
      </c>
      <c r="S1" s="131" t="s">
        <v>311</v>
      </c>
      <c r="T1" s="127" t="s">
        <v>312</v>
      </c>
      <c r="U1" s="126" t="s">
        <v>313</v>
      </c>
      <c r="V1" s="131" t="s">
        <v>314</v>
      </c>
      <c r="W1" s="131" t="s">
        <v>315</v>
      </c>
      <c r="X1" s="128" t="s">
        <v>316</v>
      </c>
      <c r="Y1" s="127" t="s">
        <v>317</v>
      </c>
      <c r="Z1" s="130" t="s">
        <v>318</v>
      </c>
      <c r="AA1" s="131" t="s">
        <v>319</v>
      </c>
    </row>
    <row r="2" spans="1:27" ht="15.75" customHeight="1">
      <c r="A2" s="132"/>
      <c r="B2" s="133">
        <v>44743</v>
      </c>
      <c r="C2" s="133">
        <v>45852</v>
      </c>
      <c r="D2" s="134">
        <v>45866</v>
      </c>
      <c r="E2" s="134">
        <v>45880</v>
      </c>
      <c r="F2" s="135">
        <v>45894</v>
      </c>
      <c r="G2" s="135">
        <v>45908</v>
      </c>
      <c r="H2" s="134">
        <v>45922</v>
      </c>
      <c r="I2" s="134">
        <v>45936</v>
      </c>
      <c r="J2" s="134">
        <v>45950</v>
      </c>
      <c r="K2" s="135">
        <v>45964</v>
      </c>
      <c r="L2" s="136">
        <v>45978</v>
      </c>
      <c r="M2" s="136">
        <v>45992</v>
      </c>
      <c r="N2" s="134">
        <v>46006</v>
      </c>
      <c r="O2" s="135">
        <v>46020</v>
      </c>
      <c r="P2" s="136">
        <v>45669</v>
      </c>
      <c r="Q2" s="136">
        <v>45683</v>
      </c>
      <c r="R2" s="137">
        <v>45697</v>
      </c>
      <c r="S2" s="137">
        <v>45711</v>
      </c>
      <c r="T2" s="134">
        <v>45725</v>
      </c>
      <c r="U2" s="134">
        <v>45739</v>
      </c>
      <c r="V2" s="137">
        <v>45753</v>
      </c>
      <c r="W2" s="134">
        <v>45767</v>
      </c>
      <c r="X2" s="136">
        <v>45781</v>
      </c>
      <c r="Y2" s="136">
        <v>45795</v>
      </c>
      <c r="Z2" s="137">
        <v>45809</v>
      </c>
      <c r="AA2" s="135">
        <v>45823</v>
      </c>
    </row>
    <row r="3" spans="1:27" ht="15.75" customHeight="1">
      <c r="A3" s="43" t="s">
        <v>76</v>
      </c>
      <c r="B3" s="138" t="s">
        <v>356</v>
      </c>
      <c r="C3" s="139" t="s">
        <v>328</v>
      </c>
      <c r="D3" s="140" t="s">
        <v>197</v>
      </c>
      <c r="E3" s="140" t="s">
        <v>197</v>
      </c>
      <c r="F3" s="138" t="s">
        <v>356</v>
      </c>
      <c r="G3" s="141" t="s">
        <v>324</v>
      </c>
      <c r="H3" s="139" t="s">
        <v>328</v>
      </c>
      <c r="I3" s="138" t="s">
        <v>356</v>
      </c>
      <c r="J3" s="142" t="s">
        <v>332</v>
      </c>
      <c r="K3" s="138" t="s">
        <v>356</v>
      </c>
      <c r="L3" s="138" t="s">
        <v>356</v>
      </c>
      <c r="M3" s="143" t="s">
        <v>357</v>
      </c>
      <c r="N3" s="139" t="s">
        <v>328</v>
      </c>
      <c r="O3" s="144" t="s">
        <v>326</v>
      </c>
      <c r="P3" s="138" t="s">
        <v>356</v>
      </c>
      <c r="Q3" s="145" t="s">
        <v>358</v>
      </c>
      <c r="R3" s="138" t="s">
        <v>356</v>
      </c>
      <c r="S3" s="146" t="s">
        <v>330</v>
      </c>
      <c r="T3" s="138" t="s">
        <v>356</v>
      </c>
      <c r="U3" s="147" t="s">
        <v>324</v>
      </c>
      <c r="V3" s="148" t="s">
        <v>359</v>
      </c>
      <c r="W3" s="148" t="s">
        <v>359</v>
      </c>
      <c r="X3" s="138" t="s">
        <v>356</v>
      </c>
      <c r="Y3" s="138" t="s">
        <v>356</v>
      </c>
      <c r="Z3" s="149" t="s">
        <v>331</v>
      </c>
      <c r="AA3" s="138" t="s">
        <v>356</v>
      </c>
    </row>
    <row r="4" spans="1:27" ht="15.75" customHeight="1">
      <c r="A4" s="43" t="s">
        <v>360</v>
      </c>
      <c r="B4" s="138" t="s">
        <v>356</v>
      </c>
      <c r="C4" s="138" t="s">
        <v>356</v>
      </c>
      <c r="D4" s="138" t="s">
        <v>356</v>
      </c>
      <c r="E4" s="138" t="s">
        <v>356</v>
      </c>
      <c r="F4" s="149" t="s">
        <v>331</v>
      </c>
      <c r="G4" s="139" t="s">
        <v>328</v>
      </c>
      <c r="H4" s="138" t="s">
        <v>356</v>
      </c>
      <c r="I4" s="143" t="s">
        <v>357</v>
      </c>
      <c r="J4" s="140" t="s">
        <v>197</v>
      </c>
      <c r="K4" s="140" t="s">
        <v>197</v>
      </c>
      <c r="L4" s="139" t="s">
        <v>328</v>
      </c>
      <c r="M4" s="144" t="s">
        <v>326</v>
      </c>
      <c r="N4" s="138" t="s">
        <v>356</v>
      </c>
      <c r="O4" s="138" t="s">
        <v>356</v>
      </c>
      <c r="P4" s="147" t="s">
        <v>324</v>
      </c>
      <c r="Q4" s="138" t="s">
        <v>356</v>
      </c>
      <c r="R4" s="146" t="s">
        <v>330</v>
      </c>
      <c r="S4" s="139" t="s">
        <v>328</v>
      </c>
      <c r="T4" s="148" t="s">
        <v>359</v>
      </c>
      <c r="U4" s="148" t="s">
        <v>359</v>
      </c>
      <c r="V4" s="138" t="s">
        <v>356</v>
      </c>
      <c r="W4" s="138" t="s">
        <v>356</v>
      </c>
      <c r="X4" s="138" t="s">
        <v>356</v>
      </c>
      <c r="Y4" s="147" t="s">
        <v>324</v>
      </c>
      <c r="Z4" s="142" t="s">
        <v>332</v>
      </c>
      <c r="AA4" s="145" t="s">
        <v>358</v>
      </c>
    </row>
    <row r="5" spans="1:27" ht="15.75" customHeight="1">
      <c r="A5" s="43" t="s">
        <v>82</v>
      </c>
      <c r="B5" s="138" t="s">
        <v>356</v>
      </c>
      <c r="C5" s="138" t="s">
        <v>356</v>
      </c>
      <c r="D5" s="138" t="s">
        <v>356</v>
      </c>
      <c r="E5" s="139" t="s">
        <v>328</v>
      </c>
      <c r="F5" s="148" t="s">
        <v>359</v>
      </c>
      <c r="G5" s="148" t="s">
        <v>359</v>
      </c>
      <c r="H5" s="138" t="s">
        <v>356</v>
      </c>
      <c r="I5" s="138" t="s">
        <v>356</v>
      </c>
      <c r="J5" s="143" t="s">
        <v>357</v>
      </c>
      <c r="K5" s="139" t="s">
        <v>328</v>
      </c>
      <c r="L5" s="140" t="s">
        <v>197</v>
      </c>
      <c r="M5" s="140" t="s">
        <v>197</v>
      </c>
      <c r="N5" s="149" t="s">
        <v>331</v>
      </c>
      <c r="O5" s="145" t="s">
        <v>358</v>
      </c>
      <c r="P5" s="147" t="s">
        <v>324</v>
      </c>
      <c r="Q5" s="142" t="s">
        <v>332</v>
      </c>
      <c r="R5" s="138" t="s">
        <v>356</v>
      </c>
      <c r="S5" s="138" t="s">
        <v>356</v>
      </c>
      <c r="T5" s="138" t="s">
        <v>356</v>
      </c>
      <c r="U5" s="138" t="s">
        <v>356</v>
      </c>
      <c r="V5" s="144" t="s">
        <v>326</v>
      </c>
      <c r="W5" s="139" t="s">
        <v>328</v>
      </c>
      <c r="X5" s="138" t="s">
        <v>356</v>
      </c>
      <c r="Y5" s="146" t="s">
        <v>330</v>
      </c>
      <c r="Z5" s="147" t="s">
        <v>324</v>
      </c>
      <c r="AA5" s="138" t="s">
        <v>356</v>
      </c>
    </row>
    <row r="6" spans="1:27" ht="15.75" customHeight="1">
      <c r="A6" s="43" t="s">
        <v>361</v>
      </c>
      <c r="B6" s="142" t="s">
        <v>332</v>
      </c>
      <c r="C6" s="149" t="s">
        <v>331</v>
      </c>
      <c r="D6" s="148" t="s">
        <v>359</v>
      </c>
      <c r="E6" s="148" t="s">
        <v>359</v>
      </c>
      <c r="F6" s="139" t="s">
        <v>328</v>
      </c>
      <c r="G6" s="138" t="s">
        <v>356</v>
      </c>
      <c r="H6" s="146" t="s">
        <v>330</v>
      </c>
      <c r="I6" s="138" t="s">
        <v>356</v>
      </c>
      <c r="J6" s="145" t="s">
        <v>358</v>
      </c>
      <c r="K6" s="138" t="s">
        <v>356</v>
      </c>
      <c r="L6" s="144" t="s">
        <v>326</v>
      </c>
      <c r="M6" s="138" t="s">
        <v>356</v>
      </c>
      <c r="N6" s="147" t="s">
        <v>324</v>
      </c>
      <c r="O6" s="138" t="s">
        <v>356</v>
      </c>
      <c r="P6" s="138" t="s">
        <v>356</v>
      </c>
      <c r="Q6" s="138" t="s">
        <v>356</v>
      </c>
      <c r="R6" s="140" t="s">
        <v>197</v>
      </c>
      <c r="S6" s="140" t="s">
        <v>197</v>
      </c>
      <c r="T6" s="139" t="s">
        <v>328</v>
      </c>
      <c r="U6" s="147" t="s">
        <v>324</v>
      </c>
      <c r="V6" s="138" t="s">
        <v>356</v>
      </c>
      <c r="W6" s="138" t="s">
        <v>356</v>
      </c>
      <c r="X6" s="143" t="s">
        <v>357</v>
      </c>
      <c r="Y6" s="139" t="s">
        <v>328</v>
      </c>
      <c r="Z6" s="138" t="s">
        <v>356</v>
      </c>
      <c r="AA6" s="138" t="s">
        <v>356</v>
      </c>
    </row>
    <row r="7" spans="1:27" ht="15.75" customHeight="1">
      <c r="A7" s="43" t="s">
        <v>78</v>
      </c>
      <c r="B7" s="138" t="s">
        <v>356</v>
      </c>
      <c r="C7" s="142" t="s">
        <v>332</v>
      </c>
      <c r="D7" s="138" t="s">
        <v>356</v>
      </c>
      <c r="E7" s="139" t="s">
        <v>328</v>
      </c>
      <c r="F7" s="146" t="s">
        <v>330</v>
      </c>
      <c r="G7" s="149" t="s">
        <v>331</v>
      </c>
      <c r="H7" s="138" t="s">
        <v>356</v>
      </c>
      <c r="I7" s="138" t="s">
        <v>356</v>
      </c>
      <c r="J7" s="143" t="s">
        <v>357</v>
      </c>
      <c r="K7" s="138" t="s">
        <v>356</v>
      </c>
      <c r="L7" s="139" t="s">
        <v>328</v>
      </c>
      <c r="M7" s="145" t="s">
        <v>358</v>
      </c>
      <c r="N7" s="138" t="s">
        <v>356</v>
      </c>
      <c r="O7" s="138" t="s">
        <v>356</v>
      </c>
      <c r="P7" s="148" t="s">
        <v>359</v>
      </c>
      <c r="Q7" s="148" t="s">
        <v>359</v>
      </c>
      <c r="R7" s="138" t="s">
        <v>356</v>
      </c>
      <c r="S7" s="144" t="s">
        <v>326</v>
      </c>
      <c r="T7" s="138" t="s">
        <v>356</v>
      </c>
      <c r="U7" s="147" t="s">
        <v>324</v>
      </c>
      <c r="V7" s="139" t="s">
        <v>328</v>
      </c>
      <c r="W7" s="138" t="s">
        <v>356</v>
      </c>
      <c r="X7" s="140" t="s">
        <v>197</v>
      </c>
      <c r="Y7" s="140" t="s">
        <v>197</v>
      </c>
      <c r="Z7" s="138" t="s">
        <v>356</v>
      </c>
      <c r="AA7" s="147" t="s">
        <v>324</v>
      </c>
    </row>
    <row r="8" spans="1:27" ht="15.75" customHeight="1">
      <c r="A8" s="43" t="s">
        <v>84</v>
      </c>
      <c r="B8" s="138" t="s">
        <v>356</v>
      </c>
      <c r="C8" s="138" t="s">
        <v>356</v>
      </c>
      <c r="D8" s="138" t="s">
        <v>356</v>
      </c>
      <c r="E8" s="144" t="s">
        <v>326</v>
      </c>
      <c r="F8" s="139" t="s">
        <v>328</v>
      </c>
      <c r="G8" s="138" t="s">
        <v>356</v>
      </c>
      <c r="H8" s="140" t="s">
        <v>197</v>
      </c>
      <c r="I8" s="140" t="s">
        <v>197</v>
      </c>
      <c r="J8" s="138" t="s">
        <v>356</v>
      </c>
      <c r="K8" s="143" t="s">
        <v>357</v>
      </c>
      <c r="L8" s="149" t="s">
        <v>331</v>
      </c>
      <c r="M8" s="138" t="s">
        <v>356</v>
      </c>
      <c r="N8" s="147" t="s">
        <v>324</v>
      </c>
      <c r="O8" s="146" t="s">
        <v>330</v>
      </c>
      <c r="P8" s="142" t="s">
        <v>332</v>
      </c>
      <c r="Q8" s="139" t="s">
        <v>328</v>
      </c>
      <c r="R8" s="138" t="s">
        <v>356</v>
      </c>
      <c r="S8" s="138" t="s">
        <v>356</v>
      </c>
      <c r="T8" s="148" t="s">
        <v>359</v>
      </c>
      <c r="U8" s="148" t="s">
        <v>359</v>
      </c>
      <c r="V8" s="147" t="s">
        <v>324</v>
      </c>
      <c r="W8" s="138" t="s">
        <v>356</v>
      </c>
      <c r="X8" s="145" t="s">
        <v>358</v>
      </c>
      <c r="Y8" s="138" t="s">
        <v>356</v>
      </c>
      <c r="Z8" s="139" t="s">
        <v>328</v>
      </c>
      <c r="AA8" s="138" t="s">
        <v>356</v>
      </c>
    </row>
    <row r="9" spans="1:27" ht="15.75" customHeight="1">
      <c r="A9" s="43" t="s">
        <v>80</v>
      </c>
      <c r="B9" s="149" t="s">
        <v>331</v>
      </c>
      <c r="C9" s="138" t="s">
        <v>356</v>
      </c>
      <c r="D9" s="138" t="s">
        <v>356</v>
      </c>
      <c r="E9" s="138" t="s">
        <v>356</v>
      </c>
      <c r="F9" s="140" t="s">
        <v>197</v>
      </c>
      <c r="G9" s="140" t="s">
        <v>197</v>
      </c>
      <c r="H9" s="139" t="s">
        <v>328</v>
      </c>
      <c r="I9" s="141" t="s">
        <v>324</v>
      </c>
      <c r="J9" s="139" t="s">
        <v>328</v>
      </c>
      <c r="K9" s="143" t="s">
        <v>357</v>
      </c>
      <c r="L9" s="138" t="s">
        <v>356</v>
      </c>
      <c r="M9" s="138" t="s">
        <v>356</v>
      </c>
      <c r="N9" s="138" t="s">
        <v>356</v>
      </c>
      <c r="O9" s="138" t="s">
        <v>356</v>
      </c>
      <c r="P9" s="148" t="s">
        <v>359</v>
      </c>
      <c r="Q9" s="148" t="s">
        <v>359</v>
      </c>
      <c r="R9" s="138" t="s">
        <v>356</v>
      </c>
      <c r="S9" s="142" t="s">
        <v>332</v>
      </c>
      <c r="T9" s="145" t="s">
        <v>358</v>
      </c>
      <c r="U9" s="138" t="s">
        <v>356</v>
      </c>
      <c r="V9" s="138" t="s">
        <v>356</v>
      </c>
      <c r="W9" s="147" t="s">
        <v>324</v>
      </c>
      <c r="X9" s="146" t="s">
        <v>330</v>
      </c>
      <c r="Y9" s="138" t="s">
        <v>356</v>
      </c>
      <c r="Z9" s="144" t="s">
        <v>326</v>
      </c>
      <c r="AA9" s="139" t="s">
        <v>328</v>
      </c>
    </row>
    <row r="10" spans="1:27" ht="15.75" customHeight="1">
      <c r="A10" s="43" t="s">
        <v>86</v>
      </c>
      <c r="B10" s="138" t="s">
        <v>356</v>
      </c>
      <c r="C10" s="139" t="s">
        <v>328</v>
      </c>
      <c r="D10" s="144" t="s">
        <v>326</v>
      </c>
      <c r="E10" s="150" t="s">
        <v>332</v>
      </c>
      <c r="F10" s="138" t="s">
        <v>356</v>
      </c>
      <c r="G10" s="138" t="s">
        <v>356</v>
      </c>
      <c r="H10" s="138" t="s">
        <v>356</v>
      </c>
      <c r="I10" s="149" t="s">
        <v>331</v>
      </c>
      <c r="J10" s="140" t="s">
        <v>197</v>
      </c>
      <c r="K10" s="140" t="s">
        <v>197</v>
      </c>
      <c r="L10" s="138" t="s">
        <v>356</v>
      </c>
      <c r="M10" s="147" t="s">
        <v>324</v>
      </c>
      <c r="N10" s="138" t="s">
        <v>356</v>
      </c>
      <c r="O10" s="139" t="s">
        <v>328</v>
      </c>
      <c r="P10" s="146" t="s">
        <v>330</v>
      </c>
      <c r="Q10" s="138" t="s">
        <v>356</v>
      </c>
      <c r="R10" s="138" t="s">
        <v>356</v>
      </c>
      <c r="S10" s="138" t="s">
        <v>356</v>
      </c>
      <c r="T10" s="143" t="s">
        <v>357</v>
      </c>
      <c r="U10" s="138" t="s">
        <v>356</v>
      </c>
      <c r="V10" s="147" t="s">
        <v>324</v>
      </c>
      <c r="W10" s="139" t="s">
        <v>328</v>
      </c>
      <c r="X10" s="138" t="s">
        <v>356</v>
      </c>
      <c r="Y10" s="145" t="s">
        <v>358</v>
      </c>
      <c r="Z10" s="148" t="s">
        <v>359</v>
      </c>
      <c r="AA10" s="148" t="s">
        <v>359</v>
      </c>
    </row>
    <row r="11" spans="1:27" ht="15.75" customHeight="1">
      <c r="A11" s="43" t="s">
        <v>90</v>
      </c>
      <c r="B11" s="138" t="s">
        <v>356</v>
      </c>
      <c r="C11" s="141" t="s">
        <v>324</v>
      </c>
      <c r="D11" s="138" t="s">
        <v>356</v>
      </c>
      <c r="E11" s="138" t="s">
        <v>356</v>
      </c>
      <c r="F11" s="151" t="s">
        <v>356</v>
      </c>
      <c r="G11" s="138" t="s">
        <v>356</v>
      </c>
      <c r="H11" s="146" t="s">
        <v>330</v>
      </c>
      <c r="I11" s="139" t="s">
        <v>328</v>
      </c>
      <c r="J11" s="148" t="s">
        <v>359</v>
      </c>
      <c r="K11" s="148" t="s">
        <v>359</v>
      </c>
      <c r="L11" s="142" t="s">
        <v>332</v>
      </c>
      <c r="M11" s="139" t="s">
        <v>328</v>
      </c>
      <c r="N11" s="140" t="s">
        <v>197</v>
      </c>
      <c r="O11" s="140" t="s">
        <v>197</v>
      </c>
      <c r="P11" s="145" t="s">
        <v>358</v>
      </c>
      <c r="Q11" s="138" t="s">
        <v>356</v>
      </c>
      <c r="R11" s="143" t="s">
        <v>357</v>
      </c>
      <c r="S11" s="138" t="s">
        <v>356</v>
      </c>
      <c r="T11" s="138" t="s">
        <v>356</v>
      </c>
      <c r="U11" s="138" t="s">
        <v>356</v>
      </c>
      <c r="V11" s="147" t="s">
        <v>324</v>
      </c>
      <c r="W11" s="144" t="s">
        <v>326</v>
      </c>
      <c r="X11" s="139" t="s">
        <v>328</v>
      </c>
      <c r="Y11" s="138" t="s">
        <v>356</v>
      </c>
      <c r="Z11" s="138" t="s">
        <v>356</v>
      </c>
      <c r="AA11" s="149" t="s">
        <v>331</v>
      </c>
    </row>
    <row r="12" spans="1:27" ht="15.75" customHeight="1">
      <c r="A12" s="43" t="s">
        <v>92</v>
      </c>
      <c r="B12" s="139" t="s">
        <v>328</v>
      </c>
      <c r="C12" s="138" t="s">
        <v>356</v>
      </c>
      <c r="D12" s="146" t="s">
        <v>330</v>
      </c>
      <c r="E12" s="138" t="s">
        <v>356</v>
      </c>
      <c r="F12" s="138" t="s">
        <v>356</v>
      </c>
      <c r="G12" s="145" t="s">
        <v>358</v>
      </c>
      <c r="H12" s="138" t="s">
        <v>356</v>
      </c>
      <c r="I12" s="141" t="s">
        <v>324</v>
      </c>
      <c r="J12" s="144" t="s">
        <v>326</v>
      </c>
      <c r="K12" s="139" t="s">
        <v>328</v>
      </c>
      <c r="L12" s="138" t="s">
        <v>356</v>
      </c>
      <c r="M12" s="138" t="s">
        <v>356</v>
      </c>
      <c r="N12" s="142" t="s">
        <v>332</v>
      </c>
      <c r="O12" s="138" t="s">
        <v>356</v>
      </c>
      <c r="P12" s="143" t="s">
        <v>357</v>
      </c>
      <c r="Q12" s="138" t="s">
        <v>356</v>
      </c>
      <c r="R12" s="149" t="s">
        <v>331</v>
      </c>
      <c r="S12" s="138" t="s">
        <v>356</v>
      </c>
      <c r="T12" s="140" t="s">
        <v>197</v>
      </c>
      <c r="U12" s="140" t="s">
        <v>197</v>
      </c>
      <c r="V12" s="139" t="s">
        <v>328</v>
      </c>
      <c r="W12" s="147" t="s">
        <v>324</v>
      </c>
      <c r="X12" s="148" t="s">
        <v>359</v>
      </c>
      <c r="Y12" s="148" t="s">
        <v>359</v>
      </c>
      <c r="Z12" s="138" t="s">
        <v>356</v>
      </c>
      <c r="AA12" s="138" t="s">
        <v>356</v>
      </c>
    </row>
    <row r="13" spans="1:27" ht="15.75" customHeight="1">
      <c r="A13" s="43" t="s">
        <v>362</v>
      </c>
      <c r="B13" s="146" t="s">
        <v>330</v>
      </c>
      <c r="C13" s="138" t="s">
        <v>356</v>
      </c>
      <c r="D13" s="138" t="s">
        <v>356</v>
      </c>
      <c r="E13" s="143" t="s">
        <v>357</v>
      </c>
      <c r="F13" s="141" t="s">
        <v>324</v>
      </c>
      <c r="G13" s="138" t="s">
        <v>356</v>
      </c>
      <c r="H13" s="138" t="s">
        <v>356</v>
      </c>
      <c r="I13" s="138" t="s">
        <v>356</v>
      </c>
      <c r="J13" s="138" t="s">
        <v>356</v>
      </c>
      <c r="K13" s="142" t="s">
        <v>332</v>
      </c>
      <c r="L13" s="138" t="s">
        <v>356</v>
      </c>
      <c r="M13" s="149" t="s">
        <v>331</v>
      </c>
      <c r="N13" s="145" t="s">
        <v>358</v>
      </c>
      <c r="O13" s="138" t="s">
        <v>356</v>
      </c>
      <c r="P13" s="140" t="s">
        <v>197</v>
      </c>
      <c r="Q13" s="140" t="s">
        <v>197</v>
      </c>
      <c r="R13" s="148" t="s">
        <v>359</v>
      </c>
      <c r="S13" s="148" t="s">
        <v>359</v>
      </c>
      <c r="T13" s="139" t="s">
        <v>328</v>
      </c>
      <c r="U13" s="147" t="s">
        <v>324</v>
      </c>
      <c r="V13" s="138" t="s">
        <v>356</v>
      </c>
      <c r="W13" s="138" t="s">
        <v>356</v>
      </c>
      <c r="X13" s="139" t="s">
        <v>328</v>
      </c>
      <c r="Y13" s="144" t="s">
        <v>326</v>
      </c>
      <c r="Z13" s="138" t="s">
        <v>356</v>
      </c>
      <c r="AA13" s="139" t="s">
        <v>328</v>
      </c>
    </row>
    <row r="14" spans="1:27" ht="15.75" customHeight="1">
      <c r="A14" s="43" t="s">
        <v>94</v>
      </c>
      <c r="B14" s="138" t="s">
        <v>356</v>
      </c>
      <c r="C14" s="146" t="s">
        <v>330</v>
      </c>
      <c r="D14" s="139" t="s">
        <v>328</v>
      </c>
      <c r="E14" s="141" t="s">
        <v>324</v>
      </c>
      <c r="F14" s="138" t="s">
        <v>356</v>
      </c>
      <c r="G14" s="138" t="s">
        <v>356</v>
      </c>
      <c r="H14" s="148" t="s">
        <v>359</v>
      </c>
      <c r="I14" s="148" t="s">
        <v>359</v>
      </c>
      <c r="J14" s="138" t="s">
        <v>356</v>
      </c>
      <c r="K14" s="138" t="s">
        <v>356</v>
      </c>
      <c r="L14" s="140" t="s">
        <v>197</v>
      </c>
      <c r="M14" s="140" t="s">
        <v>197</v>
      </c>
      <c r="N14" s="139" t="s">
        <v>328</v>
      </c>
      <c r="O14" s="149" t="s">
        <v>331</v>
      </c>
      <c r="P14" s="138" t="s">
        <v>356</v>
      </c>
      <c r="Q14" s="147" t="s">
        <v>324</v>
      </c>
      <c r="R14" s="142" t="s">
        <v>332</v>
      </c>
      <c r="S14" s="138" t="s">
        <v>356</v>
      </c>
      <c r="T14" s="138" t="s">
        <v>356</v>
      </c>
      <c r="U14" s="138" t="s">
        <v>356</v>
      </c>
      <c r="V14" s="138" t="s">
        <v>356</v>
      </c>
      <c r="W14" s="145" t="s">
        <v>358</v>
      </c>
      <c r="X14" s="144" t="s">
        <v>326</v>
      </c>
      <c r="Y14" s="139" t="s">
        <v>328</v>
      </c>
      <c r="Z14" s="143" t="s">
        <v>357</v>
      </c>
      <c r="AA14" s="138" t="s">
        <v>329</v>
      </c>
    </row>
    <row r="15" spans="1:27" ht="15.75" customHeight="1">
      <c r="A15" s="43" t="s">
        <v>363</v>
      </c>
      <c r="B15" s="138" t="s">
        <v>356</v>
      </c>
      <c r="C15" s="138" t="s">
        <v>356</v>
      </c>
      <c r="D15" s="140" t="s">
        <v>197</v>
      </c>
      <c r="E15" s="140" t="s">
        <v>197</v>
      </c>
      <c r="F15" s="138" t="s">
        <v>356</v>
      </c>
      <c r="G15" s="144" t="s">
        <v>326</v>
      </c>
      <c r="H15" s="138" t="s">
        <v>356</v>
      </c>
      <c r="I15" s="138" t="s">
        <v>356</v>
      </c>
      <c r="J15" s="138" t="s">
        <v>356</v>
      </c>
      <c r="K15" s="149" t="s">
        <v>331</v>
      </c>
      <c r="L15" s="139" t="s">
        <v>328</v>
      </c>
      <c r="M15" s="138" t="s">
        <v>356</v>
      </c>
      <c r="N15" s="147" t="s">
        <v>324</v>
      </c>
      <c r="O15" s="139" t="s">
        <v>328</v>
      </c>
      <c r="P15" s="138" t="s">
        <v>356</v>
      </c>
      <c r="Q15" s="138" t="s">
        <v>356</v>
      </c>
      <c r="R15" s="145" t="s">
        <v>358</v>
      </c>
      <c r="S15" s="139" t="s">
        <v>328</v>
      </c>
      <c r="T15" s="143" t="s">
        <v>357</v>
      </c>
      <c r="U15" s="138" t="s">
        <v>356</v>
      </c>
      <c r="V15" s="147" t="s">
        <v>324</v>
      </c>
      <c r="W15" s="146" t="s">
        <v>330</v>
      </c>
      <c r="X15" s="148" t="s">
        <v>359</v>
      </c>
      <c r="Y15" s="148" t="s">
        <v>359</v>
      </c>
      <c r="Z15" s="138" t="s">
        <v>356</v>
      </c>
      <c r="AA15" s="142" t="s">
        <v>332</v>
      </c>
    </row>
    <row r="16" spans="1:27" ht="15.75" customHeight="1">
      <c r="A16" s="43" t="s">
        <v>364</v>
      </c>
      <c r="B16" s="138" t="s">
        <v>356</v>
      </c>
      <c r="C16" s="138" t="s">
        <v>356</v>
      </c>
      <c r="D16" s="149" t="s">
        <v>331</v>
      </c>
      <c r="E16" s="138" t="s">
        <v>356</v>
      </c>
      <c r="F16" s="142" t="s">
        <v>332</v>
      </c>
      <c r="G16" s="138" t="s">
        <v>356</v>
      </c>
      <c r="H16" s="138" t="s">
        <v>356</v>
      </c>
      <c r="I16" s="139" t="s">
        <v>328</v>
      </c>
      <c r="J16" s="138" t="s">
        <v>356</v>
      </c>
      <c r="K16" s="146" t="s">
        <v>330</v>
      </c>
      <c r="L16" s="148" t="s">
        <v>359</v>
      </c>
      <c r="M16" s="148" t="s">
        <v>359</v>
      </c>
      <c r="N16" s="147" t="s">
        <v>324</v>
      </c>
      <c r="O16" s="138" t="s">
        <v>356</v>
      </c>
      <c r="P16" s="138" t="s">
        <v>356</v>
      </c>
      <c r="Q16" s="144" t="s">
        <v>326</v>
      </c>
      <c r="R16" s="139" t="s">
        <v>328</v>
      </c>
      <c r="S16" s="145" t="s">
        <v>358</v>
      </c>
      <c r="T16" s="138" t="s">
        <v>356</v>
      </c>
      <c r="U16" s="139" t="s">
        <v>328</v>
      </c>
      <c r="V16" s="140" t="s">
        <v>197</v>
      </c>
      <c r="W16" s="140" t="s">
        <v>197</v>
      </c>
      <c r="X16" s="143" t="s">
        <v>357</v>
      </c>
      <c r="Y16" s="138" t="s">
        <v>356</v>
      </c>
      <c r="Z16" s="147" t="s">
        <v>324</v>
      </c>
      <c r="AA16" s="138" t="s">
        <v>356</v>
      </c>
    </row>
    <row r="17" spans="1:27" ht="15.75" customHeight="1">
      <c r="A17" s="43" t="s">
        <v>88</v>
      </c>
      <c r="B17" s="138" t="s">
        <v>356</v>
      </c>
      <c r="C17" s="138" t="s">
        <v>356</v>
      </c>
      <c r="D17" s="138" t="s">
        <v>356</v>
      </c>
      <c r="E17" s="138" t="s">
        <v>356</v>
      </c>
      <c r="F17" s="145" t="s">
        <v>358</v>
      </c>
      <c r="G17" s="139" t="s">
        <v>328</v>
      </c>
      <c r="H17" s="144" t="s">
        <v>326</v>
      </c>
      <c r="I17" s="138" t="s">
        <v>356</v>
      </c>
      <c r="J17" s="138" t="s">
        <v>356</v>
      </c>
      <c r="K17" s="141" t="s">
        <v>324</v>
      </c>
      <c r="L17" s="146" t="s">
        <v>330</v>
      </c>
      <c r="M17" s="139" t="s">
        <v>328</v>
      </c>
      <c r="N17" s="148" t="s">
        <v>359</v>
      </c>
      <c r="O17" s="148" t="s">
        <v>359</v>
      </c>
      <c r="P17" s="138" t="s">
        <v>356</v>
      </c>
      <c r="Q17" s="149" t="s">
        <v>331</v>
      </c>
      <c r="R17" s="138" t="s">
        <v>356</v>
      </c>
      <c r="S17" s="138" t="s">
        <v>356</v>
      </c>
      <c r="T17" s="147" t="s">
        <v>324</v>
      </c>
      <c r="U17" s="143" t="s">
        <v>357</v>
      </c>
      <c r="V17" s="139" t="s">
        <v>328</v>
      </c>
      <c r="W17" s="142" t="s">
        <v>332</v>
      </c>
      <c r="X17" s="138" t="s">
        <v>356</v>
      </c>
      <c r="Y17" s="138" t="s">
        <v>356</v>
      </c>
      <c r="Z17" s="140" t="s">
        <v>197</v>
      </c>
      <c r="AA17" s="140" t="s">
        <v>197</v>
      </c>
    </row>
    <row r="18" spans="1:27" ht="15.75" customHeight="1">
      <c r="A18" s="43" t="s">
        <v>196</v>
      </c>
      <c r="B18" s="139" t="s">
        <v>328</v>
      </c>
      <c r="C18" s="138" t="s">
        <v>356</v>
      </c>
      <c r="D18" s="148" t="s">
        <v>359</v>
      </c>
      <c r="E18" s="148" t="s">
        <v>359</v>
      </c>
      <c r="F18" s="142" t="s">
        <v>332</v>
      </c>
      <c r="G18" s="146" t="s">
        <v>330</v>
      </c>
      <c r="H18" s="138" t="s">
        <v>356</v>
      </c>
      <c r="I18" s="138" t="s">
        <v>356</v>
      </c>
      <c r="J18" s="139" t="s">
        <v>328</v>
      </c>
      <c r="K18" s="138" t="s">
        <v>356</v>
      </c>
      <c r="L18" s="138" t="s">
        <v>356</v>
      </c>
      <c r="M18" s="138" t="s">
        <v>356</v>
      </c>
      <c r="N18" s="147" t="s">
        <v>324</v>
      </c>
      <c r="O18" s="138" t="s">
        <v>356</v>
      </c>
      <c r="P18" s="138" t="s">
        <v>356</v>
      </c>
      <c r="Q18" s="139" t="s">
        <v>328</v>
      </c>
      <c r="R18" s="140" t="s">
        <v>197</v>
      </c>
      <c r="S18" s="140" t="s">
        <v>197</v>
      </c>
      <c r="T18" s="149" t="s">
        <v>331</v>
      </c>
      <c r="U18" s="151" t="s">
        <v>356</v>
      </c>
      <c r="V18" s="145" t="s">
        <v>358</v>
      </c>
      <c r="W18" s="138" t="s">
        <v>356</v>
      </c>
      <c r="X18" s="138" t="s">
        <v>356</v>
      </c>
      <c r="Y18" s="147" t="s">
        <v>324</v>
      </c>
      <c r="Z18" s="143" t="s">
        <v>357</v>
      </c>
      <c r="AA18" s="144" t="s">
        <v>326</v>
      </c>
    </row>
    <row r="19" spans="1:27" ht="15.75" customHeight="1">
      <c r="A19" s="43" t="s">
        <v>365</v>
      </c>
      <c r="B19" s="140" t="s">
        <v>197</v>
      </c>
      <c r="C19" s="140" t="s">
        <v>197</v>
      </c>
      <c r="D19" s="139" t="s">
        <v>328</v>
      </c>
      <c r="E19" s="149" t="s">
        <v>331</v>
      </c>
      <c r="F19" s="144" t="s">
        <v>326</v>
      </c>
      <c r="G19" s="138" t="s">
        <v>356</v>
      </c>
      <c r="H19" s="138" t="s">
        <v>356</v>
      </c>
      <c r="I19" s="142" t="s">
        <v>332</v>
      </c>
      <c r="J19" s="138" t="s">
        <v>356</v>
      </c>
      <c r="K19" s="138" t="s">
        <v>356</v>
      </c>
      <c r="L19" s="147" t="s">
        <v>324</v>
      </c>
      <c r="M19" s="138" t="s">
        <v>356</v>
      </c>
      <c r="N19" s="138" t="s">
        <v>356</v>
      </c>
      <c r="O19" s="138" t="s">
        <v>356</v>
      </c>
      <c r="P19" s="139" t="s">
        <v>328</v>
      </c>
      <c r="Q19" s="146" t="s">
        <v>330</v>
      </c>
      <c r="R19" s="148" t="s">
        <v>359</v>
      </c>
      <c r="S19" s="148" t="s">
        <v>359</v>
      </c>
      <c r="T19" s="138" t="s">
        <v>356</v>
      </c>
      <c r="U19" s="147" t="s">
        <v>324</v>
      </c>
      <c r="V19" s="138" t="s">
        <v>356</v>
      </c>
      <c r="W19" s="143" t="s">
        <v>357</v>
      </c>
      <c r="X19" s="138" t="s">
        <v>356</v>
      </c>
      <c r="Y19" s="138" t="s">
        <v>356</v>
      </c>
      <c r="Z19" s="145" t="s">
        <v>358</v>
      </c>
      <c r="AA19" s="139" t="s">
        <v>328</v>
      </c>
    </row>
    <row r="20" spans="1:27" ht="15.75" customHeight="1">
      <c r="A20" s="43" t="s">
        <v>366</v>
      </c>
      <c r="B20" s="148" t="s">
        <v>359</v>
      </c>
      <c r="C20" s="148" t="s">
        <v>359</v>
      </c>
      <c r="D20" s="138" t="s">
        <v>356</v>
      </c>
      <c r="E20" s="138" t="s">
        <v>356</v>
      </c>
      <c r="F20" s="140" t="s">
        <v>197</v>
      </c>
      <c r="G20" s="140" t="s">
        <v>197</v>
      </c>
      <c r="H20" s="145" t="s">
        <v>358</v>
      </c>
      <c r="I20" s="141" t="s">
        <v>324</v>
      </c>
      <c r="J20" s="138" t="s">
        <v>356</v>
      </c>
      <c r="K20" s="138" t="s">
        <v>356</v>
      </c>
      <c r="L20" s="138" t="s">
        <v>356</v>
      </c>
      <c r="M20" s="146" t="s">
        <v>330</v>
      </c>
      <c r="N20" s="138" t="s">
        <v>356</v>
      </c>
      <c r="O20" s="151" t="s">
        <v>356</v>
      </c>
      <c r="P20" s="144" t="s">
        <v>326</v>
      </c>
      <c r="Q20" s="138" t="s">
        <v>356</v>
      </c>
      <c r="R20" s="143" t="s">
        <v>357</v>
      </c>
      <c r="S20" s="139" t="s">
        <v>328</v>
      </c>
      <c r="T20" s="142" t="s">
        <v>332</v>
      </c>
      <c r="U20" s="139" t="s">
        <v>328</v>
      </c>
      <c r="V20" s="147" t="s">
        <v>324</v>
      </c>
      <c r="W20" s="138" t="s">
        <v>356</v>
      </c>
      <c r="X20" s="149" t="s">
        <v>331</v>
      </c>
      <c r="Y20" s="139" t="s">
        <v>328</v>
      </c>
      <c r="Z20" s="138" t="s">
        <v>356</v>
      </c>
      <c r="AA20" s="138" t="s">
        <v>356</v>
      </c>
    </row>
    <row r="21" spans="1:27" ht="15.75" customHeight="1">
      <c r="A21" s="152"/>
      <c r="B21" s="153"/>
      <c r="C21" s="153"/>
      <c r="D21" s="153"/>
      <c r="E21" s="153"/>
      <c r="F21" s="153"/>
      <c r="G21" s="154"/>
      <c r="H21" s="154"/>
      <c r="I21" s="154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4"/>
    </row>
    <row r="22" spans="1:27" ht="15.75" customHeight="1">
      <c r="A22" s="155"/>
      <c r="B22" s="216" t="s">
        <v>340</v>
      </c>
      <c r="C22" s="217"/>
      <c r="D22" s="217"/>
      <c r="E22" s="217"/>
      <c r="F22" s="217"/>
      <c r="G22" s="218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</row>
    <row r="23" spans="1:27" ht="15.75" customHeight="1">
      <c r="A23" s="132"/>
      <c r="B23" s="239" t="s">
        <v>367</v>
      </c>
      <c r="C23" s="211"/>
      <c r="D23" s="211"/>
      <c r="E23" s="211"/>
      <c r="F23" s="211"/>
      <c r="G23" s="21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.75" customHeight="1">
      <c r="A24" s="132"/>
      <c r="B24" s="240" t="s">
        <v>344</v>
      </c>
      <c r="C24" s="211"/>
      <c r="D24" s="211"/>
      <c r="E24" s="211"/>
      <c r="F24" s="211"/>
      <c r="G24" s="212"/>
      <c r="H24" s="15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15.75" customHeight="1">
      <c r="A25" s="132"/>
      <c r="B25" s="241" t="s">
        <v>368</v>
      </c>
      <c r="C25" s="211"/>
      <c r="D25" s="211"/>
      <c r="E25" s="211"/>
      <c r="F25" s="211"/>
      <c r="G25" s="21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.75" customHeight="1">
      <c r="A26" s="132"/>
      <c r="B26" s="242" t="s">
        <v>346</v>
      </c>
      <c r="C26" s="211"/>
      <c r="D26" s="211"/>
      <c r="E26" s="211"/>
      <c r="F26" s="211"/>
      <c r="G26" s="21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.75" customHeight="1">
      <c r="A27" s="132"/>
      <c r="B27" s="243" t="s">
        <v>369</v>
      </c>
      <c r="C27" s="211"/>
      <c r="D27" s="211"/>
      <c r="E27" s="211"/>
      <c r="F27" s="211"/>
      <c r="G27" s="21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15.75" customHeight="1">
      <c r="A28" s="132"/>
      <c r="B28" s="244" t="s">
        <v>354</v>
      </c>
      <c r="C28" s="211"/>
      <c r="D28" s="211"/>
      <c r="E28" s="211"/>
      <c r="F28" s="211"/>
      <c r="G28" s="21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.75" customHeight="1">
      <c r="A29" s="132"/>
      <c r="B29" s="234" t="s">
        <v>370</v>
      </c>
      <c r="C29" s="211"/>
      <c r="D29" s="211"/>
      <c r="E29" s="211"/>
      <c r="F29" s="211"/>
      <c r="G29" s="21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.75" customHeight="1">
      <c r="A30" s="132"/>
      <c r="B30" s="235" t="s">
        <v>371</v>
      </c>
      <c r="C30" s="211"/>
      <c r="D30" s="211"/>
      <c r="E30" s="211"/>
      <c r="F30" s="211"/>
      <c r="G30" s="21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5.75" customHeight="1">
      <c r="A31" s="132"/>
      <c r="B31" s="236" t="s">
        <v>353</v>
      </c>
      <c r="C31" s="211"/>
      <c r="D31" s="211"/>
      <c r="E31" s="211"/>
      <c r="F31" s="211"/>
      <c r="G31" s="21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15.75" customHeight="1">
      <c r="A32" s="132"/>
      <c r="B32" s="237" t="s">
        <v>372</v>
      </c>
      <c r="C32" s="211"/>
      <c r="D32" s="211"/>
      <c r="E32" s="211"/>
      <c r="F32" s="211"/>
      <c r="G32" s="21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15.75" customHeight="1">
      <c r="A33" s="132"/>
      <c r="B33" s="238" t="s">
        <v>355</v>
      </c>
      <c r="C33" s="211"/>
      <c r="D33" s="211"/>
      <c r="E33" s="211"/>
      <c r="F33" s="211"/>
      <c r="G33" s="21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 ht="15.75" customHeight="1">
      <c r="A34" s="13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15.75" customHeight="1">
      <c r="A35" s="13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5.75" customHeight="1">
      <c r="A36" s="13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15.75" customHeight="1">
      <c r="A37" s="13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ht="15.75" customHeight="1">
      <c r="A38" s="13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ht="15.75" customHeight="1">
      <c r="A39" s="13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15.75" customHeight="1">
      <c r="A40" s="13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 ht="15.75" customHeight="1">
      <c r="A41" s="13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ht="15.75" customHeight="1">
      <c r="A42" s="13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ht="15.75" customHeight="1">
      <c r="A43" s="13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 ht="15.75" customHeight="1">
      <c r="A44" s="13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ht="15.75" customHeight="1">
      <c r="A45" s="13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5.75" customHeight="1">
      <c r="A46" s="13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 ht="15.75" customHeight="1">
      <c r="A47" s="1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ht="15.75" customHeight="1">
      <c r="A48" s="13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 ht="15.75" customHeight="1">
      <c r="A49" s="13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 ht="15.75" customHeight="1">
      <c r="A50" s="13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 ht="15.75" customHeight="1">
      <c r="A51" s="132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5.75" customHeight="1">
      <c r="A52" s="13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5.75" customHeight="1">
      <c r="A53" s="13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5.75" customHeight="1">
      <c r="A54" s="13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ht="15.75" customHeight="1">
      <c r="A55" s="13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ht="15.75" customHeight="1">
      <c r="A56" s="13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 ht="15.75" customHeight="1">
      <c r="A57" s="13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 ht="15.75" customHeight="1">
      <c r="A58" s="13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 ht="15.75" customHeight="1">
      <c r="A59" s="13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 ht="15.75" customHeight="1">
      <c r="A60" s="13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 ht="15.75" customHeight="1">
      <c r="A61" s="13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5.75" customHeight="1">
      <c r="A62" s="13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5.75" customHeight="1">
      <c r="A63" s="13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5.75" customHeight="1">
      <c r="A64" s="13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 ht="15.75" customHeight="1">
      <c r="A65" s="13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 ht="15.75" customHeight="1">
      <c r="A66" s="13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3">
      <c r="A67" s="132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3">
      <c r="A68" s="132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3">
      <c r="A69" s="132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3">
      <c r="A70" s="132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 ht="13">
      <c r="A71" s="132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3">
      <c r="A72" s="132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3">
      <c r="A73" s="13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3">
      <c r="A74" s="132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ht="13">
      <c r="A75" s="132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 ht="13">
      <c r="A76" s="132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 ht="13">
      <c r="A77" s="13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 ht="13">
      <c r="A78" s="132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 ht="13">
      <c r="A79" s="132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 ht="13">
      <c r="A80" s="13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 ht="13">
      <c r="A81" s="132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 ht="13">
      <c r="A82" s="13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 ht="13">
      <c r="A83" s="132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 ht="13">
      <c r="A84" s="132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 ht="13">
      <c r="A85" s="132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 ht="13">
      <c r="A86" s="132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 ht="13">
      <c r="A87" s="13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 ht="13">
      <c r="A88" s="132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 ht="13">
      <c r="A89" s="132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 ht="13">
      <c r="A90" s="132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 ht="13">
      <c r="A91" s="132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 ht="13">
      <c r="A92" s="132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ht="13">
      <c r="A93" s="13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 ht="13">
      <c r="A94" s="132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 ht="13">
      <c r="A95" s="132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 ht="13">
      <c r="A96" s="132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 ht="13">
      <c r="A97" s="132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 ht="13">
      <c r="A98" s="132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 ht="13">
      <c r="A99" s="132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 ht="13">
      <c r="A100" s="132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 ht="13">
      <c r="A101" s="132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 ht="13">
      <c r="A102" s="132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 ht="13">
      <c r="A103" s="132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 ht="13">
      <c r="A104" s="132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 ht="13">
      <c r="A105" s="132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 ht="13">
      <c r="A106" s="13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 ht="13">
      <c r="A107" s="132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 ht="13">
      <c r="A108" s="132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 ht="13">
      <c r="A109" s="132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 ht="13">
      <c r="A110" s="132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ht="13">
      <c r="A111" s="132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 ht="13">
      <c r="A112" s="132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3">
      <c r="A113" s="132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3">
      <c r="A114" s="13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 ht="13">
      <c r="A115" s="132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 ht="13">
      <c r="A116" s="132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 ht="13">
      <c r="A117" s="132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 ht="13">
      <c r="A118" s="132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 ht="13">
      <c r="A119" s="132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 ht="13">
      <c r="A120" s="132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 ht="13">
      <c r="A121" s="132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 ht="13">
      <c r="A122" s="132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 ht="13">
      <c r="A123" s="132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 ht="13">
      <c r="A124" s="132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 ht="13">
      <c r="A125" s="132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3">
      <c r="A126" s="132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3">
      <c r="A127" s="132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3">
      <c r="A128" s="132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 ht="13">
      <c r="A129" s="132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 ht="13">
      <c r="A130" s="132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 ht="13">
      <c r="A131" s="132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 ht="13">
      <c r="A132" s="132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 ht="13">
      <c r="A133" s="132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 ht="13">
      <c r="A134" s="132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 ht="13">
      <c r="A135" s="132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 ht="13">
      <c r="A136" s="132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 ht="13">
      <c r="A137" s="132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 ht="13">
      <c r="A138" s="132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 ht="13">
      <c r="A139" s="132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 ht="13">
      <c r="A140" s="132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 ht="13">
      <c r="A141" s="132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 ht="13">
      <c r="A142" s="132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 ht="13">
      <c r="A143" s="132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 ht="13">
      <c r="A144" s="132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 ht="13">
      <c r="A145" s="132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 ht="13">
      <c r="A146" s="132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 ht="13">
      <c r="A147" s="132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ht="13">
      <c r="A148" s="132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 ht="13">
      <c r="A149" s="132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 ht="13">
      <c r="A150" s="132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 ht="13">
      <c r="A151" s="13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 ht="13">
      <c r="A152" s="132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 ht="13">
      <c r="A153" s="132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 ht="13">
      <c r="A154" s="132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 ht="13">
      <c r="A155" s="132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 ht="13">
      <c r="A156" s="132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3">
      <c r="A157" s="132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3">
      <c r="A158" s="132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3">
      <c r="A159" s="132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 ht="13">
      <c r="A160" s="132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 ht="13">
      <c r="A161" s="132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 ht="13">
      <c r="A162" s="132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 ht="13">
      <c r="A163" s="132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 ht="13">
      <c r="A164" s="132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 ht="13">
      <c r="A165" s="132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3">
      <c r="A166" s="132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3">
      <c r="A167" s="132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3">
      <c r="A168" s="132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 ht="13">
      <c r="A169" s="132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 ht="13">
      <c r="A170" s="132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 ht="13">
      <c r="A171" s="132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 ht="13">
      <c r="A172" s="132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 ht="13">
      <c r="A173" s="132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 ht="13">
      <c r="A174" s="132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 ht="13">
      <c r="A175" s="132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3">
      <c r="A176" s="132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3">
      <c r="A177" s="132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3">
      <c r="A178" s="132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 ht="13">
      <c r="A179" s="132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 ht="13">
      <c r="A180" s="132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 ht="13">
      <c r="A181" s="132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 ht="13">
      <c r="A182" s="132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 ht="13">
      <c r="A183" s="132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 ht="13">
      <c r="A184" s="132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 ht="13">
      <c r="A185" s="132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ht="13">
      <c r="A186" s="132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 ht="13">
      <c r="A187" s="132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 ht="13">
      <c r="A188" s="132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 ht="13">
      <c r="A189" s="132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3">
      <c r="A190" s="132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3">
      <c r="A191" s="132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3">
      <c r="A192" s="132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3">
      <c r="A193" s="132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3">
      <c r="A194" s="132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3">
      <c r="A195" s="132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3">
      <c r="A196" s="132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 ht="13">
      <c r="A197" s="132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 ht="13">
      <c r="A198" s="132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 ht="13">
      <c r="A199" s="132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 ht="13">
      <c r="A200" s="132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 ht="13">
      <c r="A201" s="132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 ht="13">
      <c r="A202" s="132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 ht="13">
      <c r="A203" s="132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 ht="13">
      <c r="A204" s="132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 ht="13">
      <c r="A205" s="132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 ht="13">
      <c r="A206" s="132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 ht="13">
      <c r="A207" s="132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 ht="13">
      <c r="A208" s="132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 ht="13">
      <c r="A209" s="132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3">
      <c r="A210" s="132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3">
      <c r="A211" s="132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3">
      <c r="A212" s="132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 ht="13">
      <c r="A213" s="132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 ht="13">
      <c r="A214" s="132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 ht="13">
      <c r="A215" s="132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 ht="13">
      <c r="A216" s="132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 ht="13">
      <c r="A217" s="132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 ht="13">
      <c r="A218" s="132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 ht="13">
      <c r="A219" s="132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 ht="13">
      <c r="A220" s="132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 ht="13">
      <c r="A221" s="132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 ht="13">
      <c r="A222" s="132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 ht="13">
      <c r="A223" s="132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 ht="13">
      <c r="A224" s="132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 ht="13">
      <c r="A225" s="132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 ht="13">
      <c r="A226" s="132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 ht="13">
      <c r="A227" s="132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 ht="13">
      <c r="A228" s="132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 ht="13">
      <c r="A229" s="132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 ht="13">
      <c r="A230" s="132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 ht="13">
      <c r="A231" s="132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 ht="13">
      <c r="A232" s="132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 ht="13">
      <c r="A233" s="132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 ht="13">
      <c r="A234" s="132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 ht="13">
      <c r="A235" s="132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 ht="13">
      <c r="A236" s="132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 ht="13">
      <c r="A237" s="132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 ht="13">
      <c r="A238" s="132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 ht="13">
      <c r="A239" s="132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 ht="13">
      <c r="A240" s="132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 ht="13">
      <c r="A241" s="132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 ht="13">
      <c r="A242" s="132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 ht="13">
      <c r="A243" s="132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 ht="13">
      <c r="A244" s="132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 ht="13">
      <c r="A245" s="132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 ht="13">
      <c r="A246" s="132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 ht="13">
      <c r="A247" s="132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 ht="13">
      <c r="A248" s="132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 ht="13">
      <c r="A249" s="132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 ht="13">
      <c r="A250" s="132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 ht="13">
      <c r="A251" s="132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 ht="13">
      <c r="A252" s="132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 ht="13">
      <c r="A253" s="132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 ht="13">
      <c r="A254" s="132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 ht="13">
      <c r="A255" s="132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 ht="13">
      <c r="A256" s="132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 ht="13">
      <c r="A257" s="132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 ht="13">
      <c r="A258" s="132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 ht="13">
      <c r="A259" s="132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 ht="13">
      <c r="A260" s="132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 ht="13">
      <c r="A261" s="132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 ht="13">
      <c r="A262" s="132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 ht="13">
      <c r="A263" s="132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 ht="13">
      <c r="A264" s="132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 ht="13">
      <c r="A265" s="132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 ht="13">
      <c r="A266" s="132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 ht="13">
      <c r="A267" s="132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 ht="13">
      <c r="A268" s="132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 ht="13">
      <c r="A269" s="132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 ht="13">
      <c r="A270" s="132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 ht="13">
      <c r="A271" s="132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 ht="13">
      <c r="A272" s="132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 ht="13">
      <c r="A273" s="132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 ht="13">
      <c r="A274" s="132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 ht="13">
      <c r="A275" s="132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 ht="13">
      <c r="A276" s="132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 ht="13">
      <c r="A277" s="132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 ht="13">
      <c r="A278" s="132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 ht="13">
      <c r="A279" s="132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 ht="13">
      <c r="A280" s="132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 ht="13">
      <c r="A281" s="132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 ht="13">
      <c r="A282" s="132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 ht="13">
      <c r="A283" s="132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 ht="13">
      <c r="A284" s="132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 ht="13">
      <c r="A285" s="132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 ht="13">
      <c r="A286" s="132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 ht="13">
      <c r="A287" s="132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 ht="13">
      <c r="A288" s="132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 ht="13">
      <c r="A289" s="132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 ht="13">
      <c r="A290" s="132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 ht="13">
      <c r="A291" s="132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 ht="13">
      <c r="A292" s="132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 ht="13">
      <c r="A293" s="132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 ht="13">
      <c r="A294" s="132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 ht="13">
      <c r="A295" s="132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 ht="13">
      <c r="A296" s="132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 ht="13">
      <c r="A297" s="132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 ht="13">
      <c r="A298" s="132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 ht="13">
      <c r="A299" s="132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 ht="13">
      <c r="A300" s="132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 ht="13">
      <c r="A301" s="132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 ht="13">
      <c r="A302" s="132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 ht="13">
      <c r="A303" s="132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 ht="13">
      <c r="A304" s="132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 ht="13">
      <c r="A305" s="132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 ht="13">
      <c r="A306" s="132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 ht="13">
      <c r="A307" s="132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 ht="13">
      <c r="A308" s="132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 ht="13">
      <c r="A309" s="132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 ht="13">
      <c r="A310" s="132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 ht="13">
      <c r="A311" s="132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 ht="13">
      <c r="A312" s="132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 ht="13">
      <c r="A313" s="132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 ht="13">
      <c r="A314" s="132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 ht="13">
      <c r="A315" s="132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 ht="13">
      <c r="A316" s="132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 ht="13">
      <c r="A317" s="132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 ht="13">
      <c r="A318" s="132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 ht="13">
      <c r="A319" s="132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 ht="13">
      <c r="A320" s="132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 ht="13">
      <c r="A321" s="132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 ht="13">
      <c r="A322" s="132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 ht="13">
      <c r="A323" s="132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 ht="13">
      <c r="A324" s="132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 ht="13">
      <c r="A325" s="132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 ht="13">
      <c r="A326" s="132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 ht="13">
      <c r="A327" s="132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 ht="13">
      <c r="A328" s="132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 ht="13">
      <c r="A329" s="132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 ht="13">
      <c r="A330" s="132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 ht="13">
      <c r="A331" s="132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 ht="13">
      <c r="A332" s="132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 ht="13">
      <c r="A333" s="132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 ht="13">
      <c r="A334" s="132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 ht="13">
      <c r="A335" s="132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 ht="13">
      <c r="A336" s="132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 ht="13">
      <c r="A337" s="132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 ht="13">
      <c r="A338" s="132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 ht="13">
      <c r="A339" s="132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 ht="13">
      <c r="A340" s="132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 ht="13">
      <c r="A341" s="132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 ht="13">
      <c r="A342" s="132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 ht="13">
      <c r="A343" s="132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 ht="13">
      <c r="A344" s="132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 ht="13">
      <c r="A345" s="132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 ht="13">
      <c r="A346" s="132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 ht="13">
      <c r="A347" s="132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 ht="13">
      <c r="A348" s="132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 ht="13">
      <c r="A349" s="132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 ht="13">
      <c r="A350" s="132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 ht="13">
      <c r="A351" s="132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 ht="13">
      <c r="A352" s="132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 ht="13">
      <c r="A353" s="132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 ht="13">
      <c r="A354" s="132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 ht="13">
      <c r="A355" s="132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 ht="13">
      <c r="A356" s="132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 ht="13">
      <c r="A357" s="132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 ht="13">
      <c r="A358" s="132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 ht="13">
      <c r="A359" s="132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 ht="13">
      <c r="A360" s="132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 ht="13">
      <c r="A361" s="132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 ht="13">
      <c r="A362" s="132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 ht="13">
      <c r="A363" s="132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 ht="13">
      <c r="A364" s="132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 ht="13">
      <c r="A365" s="132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 ht="13">
      <c r="A366" s="132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 ht="13">
      <c r="A367" s="132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 ht="13">
      <c r="A368" s="132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 ht="13">
      <c r="A369" s="132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 ht="13">
      <c r="A370" s="132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 ht="13">
      <c r="A371" s="132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 ht="13">
      <c r="A372" s="132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 ht="13">
      <c r="A373" s="132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 ht="13">
      <c r="A374" s="132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 ht="13">
      <c r="A375" s="132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 ht="13">
      <c r="A376" s="132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 ht="13">
      <c r="A377" s="132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 ht="13">
      <c r="A378" s="132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 ht="13">
      <c r="A379" s="132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 ht="13">
      <c r="A380" s="132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 ht="13">
      <c r="A381" s="132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 ht="13">
      <c r="A382" s="132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 ht="13">
      <c r="A383" s="132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 ht="13">
      <c r="A384" s="132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 ht="13">
      <c r="A385" s="132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 ht="13">
      <c r="A386" s="132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 ht="13">
      <c r="A387" s="132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 ht="13">
      <c r="A388" s="132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 ht="13">
      <c r="A389" s="132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 ht="13">
      <c r="A390" s="132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 ht="13">
      <c r="A391" s="132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 ht="13">
      <c r="A392" s="132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 ht="13">
      <c r="A393" s="132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 ht="13">
      <c r="A394" s="132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 ht="13">
      <c r="A395" s="132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 ht="13">
      <c r="A396" s="132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 ht="13">
      <c r="A397" s="132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 ht="13">
      <c r="A398" s="132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 ht="13">
      <c r="A399" s="132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 ht="13">
      <c r="A400" s="132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 ht="13">
      <c r="A401" s="132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 ht="13">
      <c r="A402" s="132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 ht="13">
      <c r="A403" s="132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 ht="13">
      <c r="A404" s="132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 ht="13">
      <c r="A405" s="132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spans="1:27" ht="13">
      <c r="A406" s="132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spans="1:27" ht="13">
      <c r="A407" s="132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spans="1:27" ht="13">
      <c r="A408" s="132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spans="1:27" ht="13">
      <c r="A409" s="132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spans="1:27" ht="13">
      <c r="A410" s="132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spans="1:27" ht="13">
      <c r="A411" s="132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spans="1:27" ht="13">
      <c r="A412" s="132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spans="1:27" ht="13">
      <c r="A413" s="132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spans="1:27" ht="13">
      <c r="A414" s="132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spans="1:27" ht="13">
      <c r="A415" s="132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spans="1:27" ht="13">
      <c r="A416" s="132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spans="1:27" ht="13">
      <c r="A417" s="132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spans="1:27" ht="13">
      <c r="A418" s="132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spans="1:27" ht="13">
      <c r="A419" s="132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spans="1:27" ht="13">
      <c r="A420" s="132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 ht="13">
      <c r="A421" s="132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spans="1:27" ht="13">
      <c r="A422" s="132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spans="1:27" ht="13">
      <c r="A423" s="132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spans="1:27" ht="13">
      <c r="A424" s="132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spans="1:27" ht="13">
      <c r="A425" s="132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spans="1:27" ht="13">
      <c r="A426" s="132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spans="1:27" ht="13">
      <c r="A427" s="132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spans="1:27" ht="13">
      <c r="A428" s="132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spans="1:27" ht="13">
      <c r="A429" s="132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spans="1:27" ht="13">
      <c r="A430" s="132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spans="1:27" ht="13">
      <c r="A431" s="132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spans="1:27" ht="13">
      <c r="A432" s="132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spans="1:27" ht="13">
      <c r="A433" s="132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spans="1:27" ht="13">
      <c r="A434" s="132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spans="1:27" ht="13">
      <c r="A435" s="132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spans="1:27" ht="13">
      <c r="A436" s="132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spans="1:27" ht="13">
      <c r="A437" s="132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spans="1:27" ht="13">
      <c r="A438" s="132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 ht="13">
      <c r="A439" s="132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spans="1:27" ht="13">
      <c r="A440" s="132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spans="1:27" ht="13">
      <c r="A441" s="132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spans="1:27" ht="13">
      <c r="A442" s="132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spans="1:27" ht="13">
      <c r="A443" s="132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spans="1:27" ht="13">
      <c r="A444" s="132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spans="1:27" ht="13">
      <c r="A445" s="132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spans="1:27" ht="13">
      <c r="A446" s="132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spans="1:27" ht="13">
      <c r="A447" s="132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spans="1:27" ht="13">
      <c r="A448" s="132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spans="1:27" ht="13">
      <c r="A449" s="132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spans="1:27" ht="13">
      <c r="A450" s="132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spans="1:27" ht="13">
      <c r="A451" s="132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spans="1:27" ht="13">
      <c r="A452" s="132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spans="1:27" ht="13">
      <c r="A453" s="132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spans="1:27" ht="13">
      <c r="A454" s="132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spans="1:27" ht="13">
      <c r="A455" s="132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spans="1:27" ht="13">
      <c r="A456" s="132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spans="1:27" ht="13">
      <c r="A457" s="132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 ht="13">
      <c r="A458" s="132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spans="1:27" ht="13">
      <c r="A459" s="132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spans="1:27" ht="13">
      <c r="A460" s="132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spans="1:27" ht="13">
      <c r="A461" s="132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spans="1:27" ht="13">
      <c r="A462" s="132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spans="1:27" ht="13">
      <c r="A463" s="132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spans="1:27" ht="13">
      <c r="A464" s="132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spans="1:27" ht="13">
      <c r="A465" s="132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spans="1:27" ht="13">
      <c r="A466" s="132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spans="1:27" ht="13">
      <c r="A467" s="132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spans="1:27" ht="13">
      <c r="A468" s="132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spans="1:27" ht="13">
      <c r="A469" s="132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spans="1:27" ht="13">
      <c r="A470" s="132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spans="1:27" ht="13">
      <c r="A471" s="132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spans="1:27" ht="13">
      <c r="A472" s="132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spans="1:27" ht="13">
      <c r="A473" s="132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spans="1:27" ht="13">
      <c r="A474" s="132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spans="1:27" ht="13">
      <c r="A475" s="132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 ht="13">
      <c r="A476" s="132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spans="1:27" ht="13">
      <c r="A477" s="132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spans="1:27" ht="13">
      <c r="A478" s="132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spans="1:27" ht="13">
      <c r="A479" s="132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spans="1:27" ht="13">
      <c r="A480" s="132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spans="1:27" ht="13">
      <c r="A481" s="132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spans="1:27" ht="13">
      <c r="A482" s="132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spans="1:27" ht="13">
      <c r="A483" s="132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spans="1:27" ht="13">
      <c r="A484" s="132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spans="1:27" ht="13">
      <c r="A485" s="132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spans="1:27" ht="13">
      <c r="A486" s="132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spans="1:27" ht="13">
      <c r="A487" s="132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spans="1:27" ht="13">
      <c r="A488" s="132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spans="1:27" ht="13">
      <c r="A489" s="132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spans="1:27" ht="13">
      <c r="A490" s="132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spans="1:27" ht="13">
      <c r="A491" s="132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spans="1:27" ht="13">
      <c r="A492" s="132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spans="1:27" ht="13">
      <c r="A493" s="132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 ht="13">
      <c r="A494" s="132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spans="1:27" ht="13">
      <c r="A495" s="132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spans="1:27" ht="13">
      <c r="A496" s="132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spans="1:27" ht="13">
      <c r="A497" s="132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spans="1:27" ht="13">
      <c r="A498" s="132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spans="1:27" ht="13">
      <c r="A499" s="132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spans="1:27" ht="13">
      <c r="A500" s="132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spans="1:27" ht="13">
      <c r="A501" s="132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spans="1:27" ht="13">
      <c r="A502" s="132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spans="1:27" ht="13">
      <c r="A503" s="132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spans="1:27" ht="13">
      <c r="A504" s="132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spans="1:27" ht="13">
      <c r="A505" s="132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spans="1:27" ht="13">
      <c r="A506" s="132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spans="1:27" ht="13">
      <c r="A507" s="132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spans="1:27" ht="13">
      <c r="A508" s="132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spans="1:27" ht="13">
      <c r="A509" s="132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spans="1:27" ht="13">
      <c r="A510" s="132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spans="1:27" ht="13">
      <c r="A511" s="132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 ht="13">
      <c r="A512" s="132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spans="1:27" ht="13">
      <c r="A513" s="132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spans="1:27" ht="13">
      <c r="A514" s="132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spans="1:27" ht="13">
      <c r="A515" s="132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spans="1:27" ht="13">
      <c r="A516" s="132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spans="1:27" ht="13">
      <c r="A517" s="132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spans="1:27" ht="13">
      <c r="A518" s="132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spans="1:27" ht="13">
      <c r="A519" s="132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spans="1:27" ht="13">
      <c r="A520" s="132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spans="1:27" ht="13">
      <c r="A521" s="132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spans="1:27" ht="13">
      <c r="A522" s="132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spans="1:27" ht="13">
      <c r="A523" s="132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spans="1:27" ht="13">
      <c r="A524" s="132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spans="1:27" ht="13">
      <c r="A525" s="132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spans="1:27" ht="13">
      <c r="A526" s="132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spans="1:27" ht="13">
      <c r="A527" s="132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spans="1:27" ht="13">
      <c r="A528" s="132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spans="1:27" ht="13">
      <c r="A529" s="132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 ht="13">
      <c r="A530" s="132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spans="1:27" ht="13">
      <c r="A531" s="132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spans="1:27" ht="13">
      <c r="A532" s="132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spans="1:27" ht="13">
      <c r="A533" s="132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spans="1:27" ht="13">
      <c r="A534" s="132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spans="1:27" ht="13">
      <c r="A535" s="132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spans="1:27" ht="13">
      <c r="A536" s="132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spans="1:27" ht="13">
      <c r="A537" s="132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spans="1:27" ht="13">
      <c r="A538" s="132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spans="1:27" ht="13">
      <c r="A539" s="132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spans="1:27" ht="13">
      <c r="A540" s="132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spans="1:27" ht="13">
      <c r="A541" s="132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spans="1:27" ht="13">
      <c r="A542" s="132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spans="1:27" ht="13">
      <c r="A543" s="132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spans="1:27" ht="13">
      <c r="A544" s="132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spans="1:27" ht="13">
      <c r="A545" s="132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spans="1:27" ht="13">
      <c r="A546" s="132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spans="1:27" ht="13">
      <c r="A547" s="132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spans="1:27" ht="13">
      <c r="A548" s="132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spans="1:27" ht="13">
      <c r="A549" s="132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spans="1:27" ht="13">
      <c r="A550" s="132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spans="1:27" ht="13">
      <c r="A551" s="132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spans="1:27" ht="13">
      <c r="A552" s="132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spans="1:27" ht="13">
      <c r="A553" s="132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spans="1:27" ht="13">
      <c r="A554" s="132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spans="1:27" ht="13">
      <c r="A555" s="132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spans="1:27" ht="13">
      <c r="A556" s="132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spans="1:27" ht="13">
      <c r="A557" s="132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spans="1:27" ht="13">
      <c r="A558" s="132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spans="1:27" ht="13">
      <c r="A559" s="132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spans="1:27" ht="13">
      <c r="A560" s="132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spans="1:27" ht="13">
      <c r="A561" s="132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spans="1:27" ht="13">
      <c r="A562" s="132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spans="1:27" ht="13">
      <c r="A563" s="132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spans="1:27" ht="13">
      <c r="A564" s="132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spans="1:27" ht="13">
      <c r="A565" s="132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spans="1:27" ht="13">
      <c r="A566" s="132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spans="1:27" ht="13">
      <c r="A567" s="132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spans="1:27" ht="13">
      <c r="A568" s="132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spans="1:27" ht="13">
      <c r="A569" s="132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spans="1:27" ht="13">
      <c r="A570" s="132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spans="1:27" ht="13">
      <c r="A571" s="132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spans="1:27" ht="13">
      <c r="A572" s="132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spans="1:27" ht="13">
      <c r="A573" s="132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spans="1:27" ht="13">
      <c r="A574" s="132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spans="1:27" ht="13">
      <c r="A575" s="132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spans="1:27" ht="13">
      <c r="A576" s="132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spans="1:27" ht="13">
      <c r="A577" s="132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spans="1:27" ht="13">
      <c r="A578" s="132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spans="1:27" ht="13">
      <c r="A579" s="132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spans="1:27" ht="13">
      <c r="A580" s="132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spans="1:27" ht="13">
      <c r="A581" s="132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spans="1:27" ht="13">
      <c r="A582" s="132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spans="1:27" ht="13">
      <c r="A583" s="132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spans="1:27" ht="13">
      <c r="A584" s="132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spans="1:27" ht="13">
      <c r="A585" s="132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spans="1:27" ht="13">
      <c r="A586" s="132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spans="1:27" ht="13">
      <c r="A587" s="132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spans="1:27" ht="13">
      <c r="A588" s="132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spans="1:27" ht="13">
      <c r="A589" s="132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spans="1:27" ht="13">
      <c r="A590" s="132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spans="1:27" ht="13">
      <c r="A591" s="132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spans="1:27" ht="13">
      <c r="A592" s="132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spans="1:27" ht="13">
      <c r="A593" s="132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spans="1:27" ht="13">
      <c r="A594" s="132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spans="1:27" ht="13">
      <c r="A595" s="132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spans="1:27" ht="13">
      <c r="A596" s="132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spans="1:27" ht="13">
      <c r="A597" s="132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spans="1:27" ht="13">
      <c r="A598" s="132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spans="1:27" ht="13">
      <c r="A599" s="132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spans="1:27" ht="13">
      <c r="A600" s="132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spans="1:27" ht="13">
      <c r="A601" s="132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spans="1:27" ht="13">
      <c r="A602" s="132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spans="1:27" ht="13">
      <c r="A603" s="132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spans="1:27" ht="13">
      <c r="A604" s="132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spans="1:27" ht="13">
      <c r="A605" s="132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spans="1:27" ht="13">
      <c r="A606" s="132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spans="1:27" ht="13">
      <c r="A607" s="132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spans="1:27" ht="13">
      <c r="A608" s="132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spans="1:27" ht="13">
      <c r="A609" s="132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spans="1:27" ht="13">
      <c r="A610" s="132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spans="1:27" ht="13">
      <c r="A611" s="132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spans="1:27" ht="13">
      <c r="A612" s="132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spans="1:27" ht="13">
      <c r="A613" s="132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spans="1:27" ht="13">
      <c r="A614" s="132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spans="1:27" ht="13">
      <c r="A615" s="132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spans="1:27" ht="13">
      <c r="A616" s="132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spans="1:27" ht="13">
      <c r="A617" s="132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spans="1:27" ht="13">
      <c r="A618" s="132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spans="1:27" ht="13">
      <c r="A619" s="132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spans="1:27" ht="13">
      <c r="A620" s="132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spans="1:27" ht="13">
      <c r="A621" s="132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spans="1:27" ht="13">
      <c r="A622" s="132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spans="1:27" ht="13">
      <c r="A623" s="132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spans="1:27" ht="13">
      <c r="A624" s="132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spans="1:27" ht="13">
      <c r="A625" s="132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spans="1:27" ht="13">
      <c r="A626" s="132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spans="1:27" ht="13">
      <c r="A627" s="132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spans="1:27" ht="13">
      <c r="A628" s="132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spans="1:27" ht="13">
      <c r="A629" s="132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spans="1:27" ht="13">
      <c r="A630" s="132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spans="1:27" ht="13">
      <c r="A631" s="132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spans="1:27" ht="13">
      <c r="A632" s="132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spans="1:27" ht="13">
      <c r="A633" s="132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spans="1:27" ht="13">
      <c r="A634" s="132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spans="1:27" ht="13">
      <c r="A635" s="132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spans="1:27" ht="13">
      <c r="A636" s="132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spans="1:27" ht="13">
      <c r="A637" s="132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spans="1:27" ht="13">
      <c r="A638" s="132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spans="1:27" ht="13">
      <c r="A639" s="132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spans="1:27" ht="13">
      <c r="A640" s="132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spans="1:27" ht="13">
      <c r="A641" s="132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spans="1:27" ht="13">
      <c r="A642" s="132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spans="1:27" ht="13">
      <c r="A643" s="132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spans="1:27" ht="13">
      <c r="A644" s="132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spans="1:27" ht="13">
      <c r="A645" s="132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spans="1:27" ht="13">
      <c r="A646" s="132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spans="1:27" ht="13">
      <c r="A647" s="132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spans="1:27" ht="13">
      <c r="A648" s="132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spans="1:27" ht="13">
      <c r="A649" s="132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spans="1:27" ht="13">
      <c r="A650" s="132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spans="1:27" ht="13">
      <c r="A651" s="132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spans="1:27" ht="13">
      <c r="A652" s="132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spans="1:27" ht="13">
      <c r="A653" s="132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spans="1:27" ht="13">
      <c r="A654" s="132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spans="1:27" ht="13">
      <c r="A655" s="132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spans="1:27" ht="13">
      <c r="A656" s="132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spans="1:27" ht="13">
      <c r="A657" s="132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spans="1:27" ht="13">
      <c r="A658" s="132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spans="1:27" ht="13">
      <c r="A659" s="132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spans="1:27" ht="13">
      <c r="A660" s="132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spans="1:27" ht="13">
      <c r="A661" s="132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spans="1:27" ht="13">
      <c r="A662" s="132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spans="1:27" ht="13">
      <c r="A663" s="132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spans="1:27" ht="13">
      <c r="A664" s="132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spans="1:27" ht="13">
      <c r="A665" s="132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spans="1:27" ht="13">
      <c r="A666" s="132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spans="1:27" ht="13">
      <c r="A667" s="132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spans="1:27" ht="13">
      <c r="A668" s="132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spans="1:27" ht="13">
      <c r="A669" s="132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spans="1:27" ht="13">
      <c r="A670" s="132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spans="1:27" ht="13">
      <c r="A671" s="132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spans="1:27" ht="13">
      <c r="A672" s="132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spans="1:27" ht="13">
      <c r="A673" s="132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spans="1:27" ht="13">
      <c r="A674" s="132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spans="1:27" ht="13">
      <c r="A675" s="132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spans="1:27" ht="13">
      <c r="A676" s="132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spans="1:27" ht="13">
      <c r="A677" s="132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spans="1:27" ht="13">
      <c r="A678" s="132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spans="1:27" ht="13">
      <c r="A679" s="132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spans="1:27" ht="13">
      <c r="A680" s="132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spans="1:27" ht="13">
      <c r="A681" s="132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spans="1:27" ht="13">
      <c r="A682" s="132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spans="1:27" ht="13">
      <c r="A683" s="132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spans="1:27" ht="13">
      <c r="A684" s="132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spans="1:27" ht="13">
      <c r="A685" s="132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spans="1:27" ht="13">
      <c r="A686" s="132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spans="1:27" ht="13">
      <c r="A687" s="132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spans="1:27" ht="13">
      <c r="A688" s="132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spans="1:27" ht="13">
      <c r="A689" s="132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spans="1:27" ht="13">
      <c r="A690" s="132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spans="1:27" ht="13">
      <c r="A691" s="132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spans="1:27" ht="13">
      <c r="A692" s="132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spans="1:27" ht="13">
      <c r="A693" s="132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spans="1:27" ht="13">
      <c r="A694" s="132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spans="1:27" ht="13">
      <c r="A695" s="132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spans="1:27" ht="13">
      <c r="A696" s="132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spans="1:27" ht="13">
      <c r="A697" s="132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spans="1:27" ht="13">
      <c r="A698" s="132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spans="1:27" ht="13">
      <c r="A699" s="132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spans="1:27" ht="13">
      <c r="A700" s="132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spans="1:27" ht="13">
      <c r="A701" s="132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spans="1:27" ht="13">
      <c r="A702" s="132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spans="1:27" ht="13">
      <c r="A703" s="132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spans="1:27" ht="13">
      <c r="A704" s="132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spans="1:27" ht="13">
      <c r="A705" s="132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spans="1:27" ht="13">
      <c r="A706" s="132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spans="1:27" ht="13">
      <c r="A707" s="132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spans="1:27" ht="13">
      <c r="A708" s="132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spans="1:27" ht="13">
      <c r="A709" s="132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spans="1:27" ht="13">
      <c r="A710" s="132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spans="1:27" ht="13">
      <c r="A711" s="132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spans="1:27" ht="13">
      <c r="A712" s="132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spans="1:27" ht="13">
      <c r="A713" s="132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spans="1:27" ht="13">
      <c r="A714" s="132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spans="1:27" ht="13">
      <c r="A715" s="132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spans="1:27" ht="13">
      <c r="A716" s="132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spans="1:27" ht="13">
      <c r="A717" s="132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spans="1:27" ht="13">
      <c r="A718" s="132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spans="1:27" ht="13">
      <c r="A719" s="132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spans="1:27" ht="13">
      <c r="A720" s="132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spans="1:27" ht="13">
      <c r="A721" s="132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spans="1:27" ht="13">
      <c r="A722" s="132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spans="1:27" ht="13">
      <c r="A723" s="132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spans="1:27" ht="13">
      <c r="A724" s="132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spans="1:27" ht="13">
      <c r="A725" s="132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spans="1:27" ht="13">
      <c r="A726" s="132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spans="1:27" ht="13">
      <c r="A727" s="132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spans="1:27" ht="13">
      <c r="A728" s="132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spans="1:27" ht="13">
      <c r="A729" s="132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spans="1:27" ht="13">
      <c r="A730" s="132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spans="1:27" ht="13">
      <c r="A731" s="132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spans="1:27" ht="13">
      <c r="A732" s="132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spans="1:27" ht="13">
      <c r="A733" s="132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spans="1:27" ht="13">
      <c r="A734" s="132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spans="1:27" ht="13">
      <c r="A735" s="132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spans="1:27" ht="13">
      <c r="A736" s="132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spans="1:27" ht="13">
      <c r="A737" s="132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spans="1:27" ht="13">
      <c r="A738" s="132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spans="1:27" ht="13">
      <c r="A739" s="132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spans="1:27" ht="13">
      <c r="A740" s="132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spans="1:27" ht="13">
      <c r="A741" s="132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spans="1:27" ht="13">
      <c r="A742" s="132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spans="1:27" ht="13">
      <c r="A743" s="132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spans="1:27" ht="13">
      <c r="A744" s="132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spans="1:27" ht="13">
      <c r="A745" s="132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spans="1:27" ht="13">
      <c r="A746" s="132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spans="1:27" ht="13">
      <c r="A747" s="132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spans="1:27" ht="13">
      <c r="A748" s="132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spans="1:27" ht="13">
      <c r="A749" s="132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spans="1:27" ht="13">
      <c r="A750" s="132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spans="1:27" ht="13">
      <c r="A751" s="132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spans="1:27" ht="13">
      <c r="A752" s="132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spans="1:27" ht="13">
      <c r="A753" s="132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spans="1:27" ht="13">
      <c r="A754" s="132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spans="1:27" ht="13">
      <c r="A755" s="132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spans="1:27" ht="13">
      <c r="A756" s="132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spans="1:27" ht="13">
      <c r="A757" s="132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spans="1:27" ht="13">
      <c r="A758" s="132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spans="1:27" ht="13">
      <c r="A759" s="132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spans="1:27" ht="13">
      <c r="A760" s="132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spans="1:27" ht="13">
      <c r="A761" s="132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spans="1:27" ht="13">
      <c r="A762" s="132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spans="1:27" ht="13">
      <c r="A763" s="132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spans="1:27" ht="13">
      <c r="A764" s="132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spans="1:27" ht="13">
      <c r="A765" s="132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spans="1:27" ht="13">
      <c r="A766" s="132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spans="1:27" ht="13">
      <c r="A767" s="132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spans="1:27" ht="13">
      <c r="A768" s="132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spans="1:27" ht="13">
      <c r="A769" s="132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spans="1:27" ht="13">
      <c r="A770" s="132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spans="1:27" ht="13">
      <c r="A771" s="132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spans="1:27" ht="13">
      <c r="A772" s="132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spans="1:27" ht="13">
      <c r="A773" s="132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spans="1:27" ht="13">
      <c r="A774" s="132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spans="1:27" ht="13">
      <c r="A775" s="132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spans="1:27" ht="13">
      <c r="A776" s="132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spans="1:27" ht="13">
      <c r="A777" s="132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spans="1:27" ht="13">
      <c r="A778" s="132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spans="1:27" ht="13">
      <c r="A779" s="132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spans="1:27" ht="13">
      <c r="A780" s="132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spans="1:27" ht="13">
      <c r="A781" s="132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spans="1:27" ht="13">
      <c r="A782" s="132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spans="1:27" ht="13">
      <c r="A783" s="132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spans="1:27" ht="13">
      <c r="A784" s="132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spans="1:27" ht="13">
      <c r="A785" s="132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spans="1:27" ht="13">
      <c r="A786" s="132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spans="1:27" ht="13">
      <c r="A787" s="132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spans="1:27" ht="13">
      <c r="A788" s="132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spans="1:27" ht="13">
      <c r="A789" s="132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spans="1:27" ht="13">
      <c r="A790" s="132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spans="1:27" ht="13">
      <c r="A791" s="132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spans="1:27" ht="13">
      <c r="A792" s="132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spans="1:27" ht="13">
      <c r="A793" s="132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spans="1:27" ht="13">
      <c r="A794" s="132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spans="1:27" ht="13">
      <c r="A795" s="132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spans="1:27" ht="13">
      <c r="A796" s="132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spans="1:27" ht="13">
      <c r="A797" s="132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spans="1:27" ht="13">
      <c r="A798" s="132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spans="1:27" ht="13">
      <c r="A799" s="132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spans="1:27" ht="13">
      <c r="A800" s="132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spans="1:27" ht="13">
      <c r="A801" s="132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spans="1:27" ht="13">
      <c r="A802" s="132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spans="1:27" ht="13">
      <c r="A803" s="132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spans="1:27" ht="13">
      <c r="A804" s="132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spans="1:27" ht="13">
      <c r="A805" s="132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spans="1:27" ht="13">
      <c r="A806" s="132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spans="1:27" ht="13">
      <c r="A807" s="132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spans="1:27" ht="13">
      <c r="A808" s="132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spans="1:27" ht="13">
      <c r="A809" s="132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spans="1:27" ht="13">
      <c r="A810" s="132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spans="1:27" ht="13">
      <c r="A811" s="132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spans="1:27" ht="13">
      <c r="A812" s="132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spans="1:27" ht="13">
      <c r="A813" s="132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spans="1:27" ht="13">
      <c r="A814" s="132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spans="1:27" ht="13">
      <c r="A815" s="132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spans="1:27" ht="13">
      <c r="A816" s="132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spans="1:27" ht="13">
      <c r="A817" s="132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spans="1:27" ht="13">
      <c r="A818" s="132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spans="1:27" ht="13">
      <c r="A819" s="132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spans="1:27" ht="13">
      <c r="A820" s="132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spans="1:27" ht="13">
      <c r="A821" s="132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spans="1:27" ht="13">
      <c r="A822" s="132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spans="1:27" ht="13">
      <c r="A823" s="132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spans="1:27" ht="13">
      <c r="A824" s="132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spans="1:27" ht="13">
      <c r="A825" s="132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spans="1:27" ht="13">
      <c r="A826" s="132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spans="1:27" ht="13">
      <c r="A827" s="132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spans="1:27" ht="13">
      <c r="A828" s="132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spans="1:27" ht="13">
      <c r="A829" s="132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spans="1:27" ht="13">
      <c r="A830" s="132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spans="1:27" ht="13">
      <c r="A831" s="132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spans="1:27" ht="13">
      <c r="A832" s="132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spans="1:27" ht="13">
      <c r="A833" s="132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spans="1:27" ht="13">
      <c r="A834" s="132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spans="1:27" ht="13">
      <c r="A835" s="132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spans="1:27" ht="13">
      <c r="A836" s="132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spans="1:27" ht="13">
      <c r="A837" s="132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spans="1:27" ht="13">
      <c r="A838" s="132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spans="1:27" ht="13">
      <c r="A839" s="132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spans="1:27" ht="13">
      <c r="A840" s="132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spans="1:27" ht="13">
      <c r="A841" s="132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spans="1:27" ht="13">
      <c r="A842" s="132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spans="1:27" ht="13">
      <c r="A843" s="132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spans="1:27" ht="13">
      <c r="A844" s="132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spans="1:27" ht="13">
      <c r="A845" s="132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spans="1:27" ht="13">
      <c r="A846" s="132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spans="1:27" ht="13">
      <c r="A847" s="132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spans="1:27" ht="13">
      <c r="A848" s="132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spans="1:27" ht="13">
      <c r="A849" s="132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spans="1:27" ht="13">
      <c r="A850" s="132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spans="1:27" ht="13">
      <c r="A851" s="132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spans="1:27" ht="13">
      <c r="A852" s="132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spans="1:27" ht="13">
      <c r="A853" s="132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spans="1:27" ht="13">
      <c r="A854" s="132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spans="1:27" ht="13">
      <c r="A855" s="132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spans="1:27" ht="13">
      <c r="A856" s="132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spans="1:27" ht="13">
      <c r="A857" s="132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spans="1:27" ht="13">
      <c r="A858" s="132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spans="1:27" ht="13">
      <c r="A859" s="132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spans="1:27" ht="13">
      <c r="A860" s="132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spans="1:27" ht="13">
      <c r="A861" s="132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spans="1:27" ht="13">
      <c r="A862" s="132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spans="1:27" ht="13">
      <c r="A863" s="132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spans="1:27" ht="13">
      <c r="A864" s="132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spans="1:27" ht="13">
      <c r="A865" s="132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spans="1:27" ht="13">
      <c r="A866" s="132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spans="1:27" ht="13">
      <c r="A867" s="132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spans="1:27" ht="13">
      <c r="A868" s="132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spans="1:27" ht="13">
      <c r="A869" s="132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spans="1:27" ht="13">
      <c r="A870" s="132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spans="1:27" ht="13">
      <c r="A871" s="132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spans="1:27" ht="13">
      <c r="A872" s="132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spans="1:27" ht="13">
      <c r="A873" s="132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spans="1:27" ht="13">
      <c r="A874" s="132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spans="1:27" ht="13">
      <c r="A875" s="132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spans="1:27" ht="13">
      <c r="A876" s="132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spans="1:27" ht="13">
      <c r="A877" s="132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spans="1:27" ht="13">
      <c r="A878" s="132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spans="1:27" ht="13">
      <c r="A879" s="132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spans="1:27" ht="13">
      <c r="A880" s="132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spans="1:27" ht="13">
      <c r="A881" s="132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spans="1:27" ht="13">
      <c r="A882" s="132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spans="1:27" ht="13">
      <c r="A883" s="132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spans="1:27" ht="13">
      <c r="A884" s="132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spans="1:27" ht="13">
      <c r="A885" s="132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spans="1:27" ht="13">
      <c r="A886" s="132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spans="1:27" ht="13">
      <c r="A887" s="132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spans="1:27" ht="13">
      <c r="A888" s="132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spans="1:27" ht="13">
      <c r="A889" s="132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spans="1:27" ht="13">
      <c r="A890" s="132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spans="1:27" ht="13">
      <c r="A891" s="132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spans="1:27" ht="13">
      <c r="A892" s="132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 spans="1:27" ht="13">
      <c r="A893" s="132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 spans="1:27" ht="13">
      <c r="A894" s="132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 spans="1:27" ht="13">
      <c r="A895" s="132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 spans="1:27" ht="13">
      <c r="A896" s="132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 spans="1:27" ht="13">
      <c r="A897" s="132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 spans="1:27" ht="13">
      <c r="A898" s="132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 spans="1:27" ht="13">
      <c r="A899" s="132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 spans="1:27" ht="13">
      <c r="A900" s="132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 spans="1:27" ht="13">
      <c r="A901" s="132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 spans="1:27" ht="13">
      <c r="A902" s="132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 spans="1:27" ht="13">
      <c r="A903" s="132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 spans="1:27" ht="13">
      <c r="A904" s="132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 spans="1:27" ht="13">
      <c r="A905" s="132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 spans="1:27" ht="13">
      <c r="A906" s="132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 spans="1:27" ht="13">
      <c r="A907" s="132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 spans="1:27" ht="13">
      <c r="A908" s="132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 spans="1:27" ht="13">
      <c r="A909" s="132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 spans="1:27" ht="13">
      <c r="A910" s="132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 spans="1:27" ht="13">
      <c r="A911" s="132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 spans="1:27" ht="13">
      <c r="A912" s="132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 spans="1:27" ht="13">
      <c r="A913" s="132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 spans="1:27" ht="13">
      <c r="A914" s="132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 spans="1:27" ht="13">
      <c r="A915" s="132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 spans="1:27" ht="13">
      <c r="A916" s="132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 spans="1:27" ht="13">
      <c r="A917" s="132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 spans="1:27" ht="13">
      <c r="A918" s="132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 spans="1:27" ht="13">
      <c r="A919" s="132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 spans="1:27" ht="13">
      <c r="A920" s="132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 spans="1:27" ht="13">
      <c r="A921" s="132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 spans="1:27" ht="13">
      <c r="A922" s="132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 spans="1:27" ht="13">
      <c r="A923" s="132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 spans="1:27" ht="13">
      <c r="A924" s="132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 spans="1:27" ht="13">
      <c r="A925" s="132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 spans="1:27" ht="13">
      <c r="A926" s="132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 spans="1:27" ht="13">
      <c r="A927" s="132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 spans="1:27" ht="13">
      <c r="A928" s="132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 spans="1:27" ht="13">
      <c r="A929" s="132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 spans="1:27" ht="13">
      <c r="A930" s="132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 spans="1:27" ht="13">
      <c r="A931" s="132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 spans="1:27" ht="13">
      <c r="A932" s="132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 spans="1:27" ht="13">
      <c r="A933" s="132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 spans="1:27" ht="13">
      <c r="A934" s="132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 spans="1:27" ht="13">
      <c r="A935" s="132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 spans="1:27" ht="13">
      <c r="A936" s="132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 spans="1:27" ht="13">
      <c r="A937" s="132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 spans="1:27" ht="13">
      <c r="A938" s="132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 spans="1:27" ht="13">
      <c r="A939" s="132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 spans="1:27" ht="13">
      <c r="A940" s="13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 spans="1:27" ht="13">
      <c r="A941" s="132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 spans="1:27" ht="13">
      <c r="A942" s="132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 spans="1:27" ht="13">
      <c r="A943" s="132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 spans="1:27" ht="13">
      <c r="A944" s="132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 spans="1:27" ht="13">
      <c r="A945" s="132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</sheetData>
  <mergeCells count="12">
    <mergeCell ref="B27:G27"/>
    <mergeCell ref="B28:G28"/>
    <mergeCell ref="B22:G22"/>
    <mergeCell ref="B23:G23"/>
    <mergeCell ref="B24:G24"/>
    <mergeCell ref="B25:G25"/>
    <mergeCell ref="B26:G26"/>
    <mergeCell ref="B29:G29"/>
    <mergeCell ref="B30:G30"/>
    <mergeCell ref="B31:G31"/>
    <mergeCell ref="B32:G32"/>
    <mergeCell ref="B33:G33"/>
  </mergeCells>
  <conditionalFormatting sqref="AA14">
    <cfRule type="cellIs" dxfId="13" priority="1" operator="equal">
      <formula>"MICU"</formula>
    </cfRule>
    <cfRule type="cellIs" dxfId="12" priority="2" operator="equal">
      <formula>"M"</formula>
    </cfRule>
    <cfRule type="cellIs" dxfId="11" priority="3" operator="equal">
      <formula>"BH"</formula>
    </cfRule>
    <cfRule type="cellIs" dxfId="10" priority="4" operator="equal">
      <formula>"PedB"</formula>
    </cfRule>
    <cfRule type="cellIs" dxfId="9" priority="5" operator="equal">
      <formula>"TH"</formula>
    </cfRule>
    <cfRule type="cellIs" dxfId="8" priority="6" operator="equal">
      <formula>"BK"</formula>
    </cfRule>
    <cfRule type="cellIs" dxfId="7" priority="7" operator="equal">
      <formula>"NICU"</formula>
    </cfRule>
    <cfRule type="cellIs" dxfId="6" priority="8" operator="equal">
      <formula>"SICU"</formula>
    </cfRule>
    <cfRule type="cellIs" dxfId="5" priority="9" operator="equal">
      <formula>"PSY"</formula>
    </cfRule>
    <cfRule type="cellIs" dxfId="4" priority="10" operator="equal">
      <formula>"T"</formula>
    </cfRule>
    <cfRule type="cellIs" dxfId="3" priority="11" operator="equal">
      <formula>"V"</formula>
    </cfRule>
    <cfRule type="cellIs" dxfId="2" priority="12" operator="equal">
      <formula>"PedT"</formula>
    </cfRule>
    <cfRule type="cellIs" dxfId="1" priority="13" operator="equal">
      <formula>"J"</formula>
    </cfRule>
    <cfRule type="cellIs" dxfId="0" priority="14" operator="equal">
      <formula>"AnUS"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6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/>
  <cols>
    <col min="1" max="1" width="25.1640625" customWidth="1"/>
    <col min="2" max="4" width="5.6640625" customWidth="1"/>
    <col min="5" max="5" width="6" customWidth="1"/>
    <col min="6" max="13" width="5.6640625" customWidth="1"/>
    <col min="14" max="14" width="5.1640625" customWidth="1"/>
    <col min="15" max="18" width="5.6640625" customWidth="1"/>
    <col min="19" max="19" width="5" customWidth="1"/>
    <col min="20" max="27" width="5.6640625" customWidth="1"/>
  </cols>
  <sheetData>
    <row r="1" spans="1:27" ht="13">
      <c r="A1" s="157"/>
      <c r="B1" s="105" t="s">
        <v>294</v>
      </c>
      <c r="C1" s="106" t="s">
        <v>295</v>
      </c>
      <c r="D1" s="107" t="s">
        <v>296</v>
      </c>
      <c r="E1" s="108" t="s">
        <v>297</v>
      </c>
      <c r="F1" s="105" t="s">
        <v>298</v>
      </c>
      <c r="G1" s="106" t="s">
        <v>299</v>
      </c>
      <c r="H1" s="109" t="s">
        <v>300</v>
      </c>
      <c r="I1" s="110" t="s">
        <v>301</v>
      </c>
      <c r="J1" s="109" t="s">
        <v>302</v>
      </c>
      <c r="K1" s="106" t="s">
        <v>303</v>
      </c>
      <c r="L1" s="107" t="s">
        <v>304</v>
      </c>
      <c r="M1" s="108" t="s">
        <v>305</v>
      </c>
      <c r="N1" s="109" t="s">
        <v>306</v>
      </c>
      <c r="O1" s="112" t="s">
        <v>307</v>
      </c>
      <c r="P1" s="109" t="s">
        <v>308</v>
      </c>
      <c r="Q1" s="110" t="s">
        <v>309</v>
      </c>
      <c r="R1" s="111" t="s">
        <v>310</v>
      </c>
      <c r="S1" s="112" t="s">
        <v>311</v>
      </c>
      <c r="T1" s="110" t="s">
        <v>312</v>
      </c>
      <c r="U1" s="109" t="s">
        <v>313</v>
      </c>
      <c r="V1" s="112" t="s">
        <v>314</v>
      </c>
      <c r="W1" s="110" t="s">
        <v>315</v>
      </c>
      <c r="X1" s="109" t="s">
        <v>316</v>
      </c>
      <c r="Y1" s="108" t="s">
        <v>317</v>
      </c>
      <c r="Z1" s="111" t="s">
        <v>318</v>
      </c>
      <c r="AA1" s="112" t="s">
        <v>319</v>
      </c>
    </row>
    <row r="2" spans="1:27" ht="13">
      <c r="B2" s="158">
        <v>44743</v>
      </c>
      <c r="C2" s="158">
        <v>45852</v>
      </c>
      <c r="D2" s="159">
        <v>45866</v>
      </c>
      <c r="E2" s="159">
        <v>45880</v>
      </c>
      <c r="F2" s="160">
        <v>45894</v>
      </c>
      <c r="G2" s="160">
        <v>45908</v>
      </c>
      <c r="H2" s="159">
        <v>45922</v>
      </c>
      <c r="I2" s="159">
        <v>45936</v>
      </c>
      <c r="J2" s="159">
        <v>45950</v>
      </c>
      <c r="K2" s="160">
        <v>45964</v>
      </c>
      <c r="L2" s="161">
        <v>45978</v>
      </c>
      <c r="M2" s="161">
        <v>45992</v>
      </c>
      <c r="N2" s="159">
        <v>46006</v>
      </c>
      <c r="O2" s="160">
        <v>46020</v>
      </c>
      <c r="P2" s="161">
        <v>45669</v>
      </c>
      <c r="Q2" s="161">
        <v>45683</v>
      </c>
      <c r="R2" s="162">
        <v>45697</v>
      </c>
      <c r="S2" s="162">
        <v>45711</v>
      </c>
      <c r="T2" s="159">
        <v>45725</v>
      </c>
      <c r="U2" s="159">
        <v>45739</v>
      </c>
      <c r="V2" s="162">
        <v>45753</v>
      </c>
      <c r="W2" s="159">
        <v>45767</v>
      </c>
      <c r="X2" s="161">
        <v>45781</v>
      </c>
      <c r="Y2" s="161">
        <v>45795</v>
      </c>
      <c r="Z2" s="162">
        <v>45809</v>
      </c>
      <c r="AA2" s="160">
        <v>45823</v>
      </c>
    </row>
    <row r="3" spans="1:27" ht="15.75" customHeight="1">
      <c r="A3" s="28" t="s">
        <v>112</v>
      </c>
      <c r="B3" s="163" t="s">
        <v>149</v>
      </c>
      <c r="C3" s="164" t="s">
        <v>108</v>
      </c>
      <c r="D3" s="165" t="s">
        <v>373</v>
      </c>
      <c r="E3" s="163" t="s">
        <v>149</v>
      </c>
      <c r="F3" s="164" t="s">
        <v>108</v>
      </c>
      <c r="G3" s="164" t="s">
        <v>108</v>
      </c>
      <c r="H3" s="166" t="s">
        <v>374</v>
      </c>
      <c r="I3" s="164" t="s">
        <v>108</v>
      </c>
      <c r="J3" s="167" t="s">
        <v>375</v>
      </c>
      <c r="K3" s="168" t="s">
        <v>138</v>
      </c>
      <c r="L3" s="169" t="s">
        <v>376</v>
      </c>
      <c r="M3" s="164" t="s">
        <v>108</v>
      </c>
      <c r="N3" s="163" t="s">
        <v>149</v>
      </c>
      <c r="O3" s="170" t="s">
        <v>324</v>
      </c>
      <c r="P3" s="164" t="s">
        <v>108</v>
      </c>
      <c r="Q3" s="171" t="s">
        <v>377</v>
      </c>
      <c r="R3" s="164" t="s">
        <v>108</v>
      </c>
      <c r="S3" s="164" t="s">
        <v>108</v>
      </c>
      <c r="T3" s="164" t="s">
        <v>108</v>
      </c>
      <c r="U3" s="165" t="s">
        <v>373</v>
      </c>
      <c r="V3" s="172" t="s">
        <v>106</v>
      </c>
      <c r="W3" s="172" t="s">
        <v>106</v>
      </c>
      <c r="X3" s="164" t="s">
        <v>108</v>
      </c>
      <c r="Y3" s="170" t="s">
        <v>324</v>
      </c>
      <c r="Z3" s="164" t="s">
        <v>108</v>
      </c>
      <c r="AA3" s="164" t="s">
        <v>108</v>
      </c>
    </row>
    <row r="4" spans="1:27" ht="15.75" customHeight="1">
      <c r="A4" s="28" t="s">
        <v>133</v>
      </c>
      <c r="B4" s="163" t="s">
        <v>149</v>
      </c>
      <c r="C4" s="164" t="s">
        <v>108</v>
      </c>
      <c r="D4" s="165" t="s">
        <v>373</v>
      </c>
      <c r="E4" s="164" t="s">
        <v>108</v>
      </c>
      <c r="F4" s="164" t="s">
        <v>108</v>
      </c>
      <c r="G4" s="163" t="s">
        <v>149</v>
      </c>
      <c r="H4" s="170" t="s">
        <v>324</v>
      </c>
      <c r="I4" s="164" t="s">
        <v>108</v>
      </c>
      <c r="J4" s="164" t="s">
        <v>108</v>
      </c>
      <c r="K4" s="164" t="s">
        <v>108</v>
      </c>
      <c r="L4" s="166" t="s">
        <v>374</v>
      </c>
      <c r="M4" s="165" t="s">
        <v>373</v>
      </c>
      <c r="N4" s="164" t="s">
        <v>108</v>
      </c>
      <c r="O4" s="164" t="s">
        <v>108</v>
      </c>
      <c r="P4" s="168" t="s">
        <v>138</v>
      </c>
      <c r="Q4" s="167" t="s">
        <v>375</v>
      </c>
      <c r="R4" s="173" t="s">
        <v>376</v>
      </c>
      <c r="S4" s="164" t="s">
        <v>108</v>
      </c>
      <c r="T4" s="170" t="s">
        <v>324</v>
      </c>
      <c r="U4" s="171" t="s">
        <v>377</v>
      </c>
      <c r="V4" s="164" t="s">
        <v>108</v>
      </c>
      <c r="W4" s="164" t="s">
        <v>108</v>
      </c>
      <c r="X4" s="172" t="s">
        <v>106</v>
      </c>
      <c r="Y4" s="172" t="s">
        <v>106</v>
      </c>
      <c r="Z4" s="164" t="s">
        <v>108</v>
      </c>
      <c r="AA4" s="163" t="s">
        <v>149</v>
      </c>
    </row>
    <row r="5" spans="1:27" ht="15.75" customHeight="1">
      <c r="A5" s="63" t="s">
        <v>117</v>
      </c>
      <c r="B5" s="164" t="s">
        <v>108</v>
      </c>
      <c r="C5" s="163" t="s">
        <v>149</v>
      </c>
      <c r="D5" s="168" t="s">
        <v>138</v>
      </c>
      <c r="E5" s="167" t="s">
        <v>375</v>
      </c>
      <c r="F5" s="164" t="s">
        <v>108</v>
      </c>
      <c r="G5" s="164" t="s">
        <v>108</v>
      </c>
      <c r="H5" s="163" t="s">
        <v>149</v>
      </c>
      <c r="I5" s="164" t="s">
        <v>108</v>
      </c>
      <c r="J5" s="170" t="s">
        <v>324</v>
      </c>
      <c r="K5" s="164" t="s">
        <v>108</v>
      </c>
      <c r="L5" s="164" t="s">
        <v>108</v>
      </c>
      <c r="M5" s="169" t="s">
        <v>376</v>
      </c>
      <c r="N5" s="165" t="s">
        <v>373</v>
      </c>
      <c r="O5" s="164" t="s">
        <v>108</v>
      </c>
      <c r="P5" s="165" t="s">
        <v>373</v>
      </c>
      <c r="Q5" s="164" t="s">
        <v>108</v>
      </c>
      <c r="R5" s="164" t="s">
        <v>108</v>
      </c>
      <c r="S5" s="164" t="s">
        <v>108</v>
      </c>
      <c r="T5" s="172" t="s">
        <v>106</v>
      </c>
      <c r="U5" s="172" t="s">
        <v>106</v>
      </c>
      <c r="V5" s="164" t="s">
        <v>108</v>
      </c>
      <c r="W5" s="171" t="s">
        <v>377</v>
      </c>
      <c r="X5" s="166" t="s">
        <v>374</v>
      </c>
      <c r="Y5" s="163" t="s">
        <v>149</v>
      </c>
      <c r="Z5" s="170" t="s">
        <v>324</v>
      </c>
      <c r="AA5" s="164" t="s">
        <v>108</v>
      </c>
    </row>
    <row r="6" spans="1:27" ht="15.75" customHeight="1">
      <c r="A6" s="28" t="s">
        <v>190</v>
      </c>
      <c r="B6" s="164" t="s">
        <v>108</v>
      </c>
      <c r="C6" s="163" t="s">
        <v>149</v>
      </c>
      <c r="D6" s="174" t="s">
        <v>374</v>
      </c>
      <c r="E6" s="165" t="s">
        <v>373</v>
      </c>
      <c r="F6" s="163" t="s">
        <v>149</v>
      </c>
      <c r="G6" s="164" t="s">
        <v>108</v>
      </c>
      <c r="H6" s="175" t="s">
        <v>106</v>
      </c>
      <c r="I6" s="175" t="s">
        <v>106</v>
      </c>
      <c r="J6" s="164" t="s">
        <v>108</v>
      </c>
      <c r="K6" s="176" t="s">
        <v>376</v>
      </c>
      <c r="L6" s="164" t="s">
        <v>108</v>
      </c>
      <c r="M6" s="170" t="s">
        <v>324</v>
      </c>
      <c r="N6" s="164" t="s">
        <v>108</v>
      </c>
      <c r="O6" s="164" t="s">
        <v>108</v>
      </c>
      <c r="P6" s="164" t="s">
        <v>108</v>
      </c>
      <c r="Q6" s="164" t="s">
        <v>108</v>
      </c>
      <c r="R6" s="177" t="s">
        <v>375</v>
      </c>
      <c r="S6" s="178" t="s">
        <v>138</v>
      </c>
      <c r="T6" s="170" t="s">
        <v>324</v>
      </c>
      <c r="U6" s="164" t="s">
        <v>108</v>
      </c>
      <c r="V6" s="164" t="s">
        <v>108</v>
      </c>
      <c r="W6" s="163" t="s">
        <v>149</v>
      </c>
      <c r="X6" s="165" t="s">
        <v>373</v>
      </c>
      <c r="Y6" s="164" t="s">
        <v>108</v>
      </c>
      <c r="Z6" s="179" t="s">
        <v>377</v>
      </c>
      <c r="AA6" s="164" t="s">
        <v>108</v>
      </c>
    </row>
    <row r="7" spans="1:27" ht="15.75" customHeight="1">
      <c r="A7" s="63" t="s">
        <v>378</v>
      </c>
      <c r="B7" s="164" t="s">
        <v>108</v>
      </c>
      <c r="C7" s="165" t="s">
        <v>373</v>
      </c>
      <c r="D7" s="164" t="s">
        <v>108</v>
      </c>
      <c r="E7" s="166" t="s">
        <v>374</v>
      </c>
      <c r="F7" s="170" t="s">
        <v>324</v>
      </c>
      <c r="G7" s="169" t="s">
        <v>376</v>
      </c>
      <c r="H7" s="164" t="s">
        <v>108</v>
      </c>
      <c r="I7" s="163" t="s">
        <v>149</v>
      </c>
      <c r="J7" s="164" t="s">
        <v>108</v>
      </c>
      <c r="K7" s="165" t="s">
        <v>373</v>
      </c>
      <c r="L7" s="164" t="s">
        <v>108</v>
      </c>
      <c r="M7" s="164" t="s">
        <v>108</v>
      </c>
      <c r="N7" s="164" t="s">
        <v>108</v>
      </c>
      <c r="O7" s="164" t="s">
        <v>108</v>
      </c>
      <c r="P7" s="172" t="s">
        <v>106</v>
      </c>
      <c r="Q7" s="172" t="s">
        <v>106</v>
      </c>
      <c r="R7" s="170" t="s">
        <v>324</v>
      </c>
      <c r="S7" s="163" t="s">
        <v>149</v>
      </c>
      <c r="T7" s="164" t="s">
        <v>108</v>
      </c>
      <c r="U7" s="164" t="s">
        <v>108</v>
      </c>
      <c r="V7" s="180" t="s">
        <v>375</v>
      </c>
      <c r="W7" s="181" t="s">
        <v>138</v>
      </c>
      <c r="X7" s="164" t="s">
        <v>108</v>
      </c>
      <c r="Y7" s="171" t="s">
        <v>377</v>
      </c>
      <c r="Z7" s="164" t="s">
        <v>108</v>
      </c>
      <c r="AA7" s="163" t="s">
        <v>149</v>
      </c>
    </row>
    <row r="8" spans="1:27" ht="15.75" customHeight="1">
      <c r="A8" s="28" t="s">
        <v>379</v>
      </c>
      <c r="B8" s="163" t="s">
        <v>149</v>
      </c>
      <c r="C8" s="164" t="s">
        <v>108</v>
      </c>
      <c r="D8" s="164" t="s">
        <v>108</v>
      </c>
      <c r="E8" s="171" t="s">
        <v>377</v>
      </c>
      <c r="F8" s="164" t="s">
        <v>108</v>
      </c>
      <c r="G8" s="164" t="s">
        <v>108</v>
      </c>
      <c r="H8" s="170" t="s">
        <v>324</v>
      </c>
      <c r="I8" s="163" t="s">
        <v>149</v>
      </c>
      <c r="J8" s="164" t="s">
        <v>108</v>
      </c>
      <c r="K8" s="164" t="s">
        <v>108</v>
      </c>
      <c r="L8" s="164" t="s">
        <v>108</v>
      </c>
      <c r="M8" s="164" t="s">
        <v>108</v>
      </c>
      <c r="N8" s="168" t="s">
        <v>138</v>
      </c>
      <c r="O8" s="167" t="s">
        <v>375</v>
      </c>
      <c r="P8" s="165" t="s">
        <v>373</v>
      </c>
      <c r="Q8" s="164" t="s">
        <v>108</v>
      </c>
      <c r="R8" s="172" t="s">
        <v>106</v>
      </c>
      <c r="S8" s="172" t="s">
        <v>106</v>
      </c>
      <c r="T8" s="170" t="s">
        <v>324</v>
      </c>
      <c r="U8" s="164" t="s">
        <v>108</v>
      </c>
      <c r="V8" s="164" t="s">
        <v>108</v>
      </c>
      <c r="W8" s="169" t="s">
        <v>376</v>
      </c>
      <c r="X8" s="165" t="s">
        <v>373</v>
      </c>
      <c r="Y8" s="164" t="s">
        <v>108</v>
      </c>
      <c r="Z8" s="163" t="s">
        <v>149</v>
      </c>
      <c r="AA8" s="166" t="s">
        <v>374</v>
      </c>
    </row>
    <row r="9" spans="1:27" ht="15.75" customHeight="1">
      <c r="A9" s="28" t="s">
        <v>120</v>
      </c>
      <c r="B9" s="163" t="s">
        <v>149</v>
      </c>
      <c r="C9" s="164" t="s">
        <v>108</v>
      </c>
      <c r="D9" s="175" t="s">
        <v>106</v>
      </c>
      <c r="E9" s="175" t="s">
        <v>106</v>
      </c>
      <c r="F9" s="164" t="s">
        <v>108</v>
      </c>
      <c r="G9" s="165" t="s">
        <v>373</v>
      </c>
      <c r="H9" s="170" t="s">
        <v>324</v>
      </c>
      <c r="I9" s="173" t="s">
        <v>376</v>
      </c>
      <c r="J9" s="164" t="s">
        <v>108</v>
      </c>
      <c r="K9" s="174" t="s">
        <v>374</v>
      </c>
      <c r="L9" s="164" t="s">
        <v>108</v>
      </c>
      <c r="M9" s="163" t="s">
        <v>149</v>
      </c>
      <c r="N9" s="165" t="s">
        <v>373</v>
      </c>
      <c r="O9" s="179" t="s">
        <v>377</v>
      </c>
      <c r="P9" s="177" t="s">
        <v>375</v>
      </c>
      <c r="Q9" s="178" t="s">
        <v>138</v>
      </c>
      <c r="R9" s="164" t="s">
        <v>108</v>
      </c>
      <c r="S9" s="164" t="s">
        <v>108</v>
      </c>
      <c r="T9" s="170" t="s">
        <v>324</v>
      </c>
      <c r="U9" s="164" t="s">
        <v>108</v>
      </c>
      <c r="V9" s="164" t="s">
        <v>108</v>
      </c>
      <c r="W9" s="164" t="s">
        <v>108</v>
      </c>
      <c r="X9" s="164" t="s">
        <v>108</v>
      </c>
      <c r="Y9" s="163" t="s">
        <v>149</v>
      </c>
      <c r="Z9" s="164" t="s">
        <v>108</v>
      </c>
      <c r="AA9" s="164" t="s">
        <v>108</v>
      </c>
    </row>
    <row r="10" spans="1:27" ht="15.75" customHeight="1">
      <c r="A10" s="28" t="s">
        <v>137</v>
      </c>
      <c r="B10" s="165" t="s">
        <v>373</v>
      </c>
      <c r="C10" s="166" t="s">
        <v>374</v>
      </c>
      <c r="D10" s="164" t="s">
        <v>108</v>
      </c>
      <c r="E10" s="164" t="s">
        <v>108</v>
      </c>
      <c r="F10" s="164" t="s">
        <v>108</v>
      </c>
      <c r="G10" s="163" t="s">
        <v>149</v>
      </c>
      <c r="H10" s="164" t="s">
        <v>108</v>
      </c>
      <c r="I10" s="164" t="s">
        <v>108</v>
      </c>
      <c r="J10" s="171" t="s">
        <v>377</v>
      </c>
      <c r="K10" s="164" t="s">
        <v>108</v>
      </c>
      <c r="L10" s="163" t="s">
        <v>149</v>
      </c>
      <c r="M10" s="164" t="s">
        <v>108</v>
      </c>
      <c r="N10" s="165" t="s">
        <v>373</v>
      </c>
      <c r="O10" s="164" t="s">
        <v>108</v>
      </c>
      <c r="P10" s="164" t="s">
        <v>108</v>
      </c>
      <c r="Q10" s="164" t="s">
        <v>108</v>
      </c>
      <c r="R10" s="170" t="s">
        <v>324</v>
      </c>
      <c r="S10" s="163" t="s">
        <v>149</v>
      </c>
      <c r="T10" s="168" t="s">
        <v>138</v>
      </c>
      <c r="U10" s="167" t="s">
        <v>375</v>
      </c>
      <c r="V10" s="172" t="s">
        <v>106</v>
      </c>
      <c r="W10" s="172" t="s">
        <v>106</v>
      </c>
      <c r="X10" s="164" t="s">
        <v>108</v>
      </c>
      <c r="Y10" s="169" t="s">
        <v>376</v>
      </c>
      <c r="Z10" s="164" t="s">
        <v>108</v>
      </c>
      <c r="AA10" s="170" t="s">
        <v>324</v>
      </c>
    </row>
    <row r="11" spans="1:27" ht="15.75" customHeight="1">
      <c r="A11" s="28" t="s">
        <v>380</v>
      </c>
      <c r="B11" s="165" t="s">
        <v>373</v>
      </c>
      <c r="C11" s="164" t="s">
        <v>108</v>
      </c>
      <c r="D11" s="164" t="s">
        <v>108</v>
      </c>
      <c r="E11" s="164" t="s">
        <v>108</v>
      </c>
      <c r="F11" s="163" t="s">
        <v>149</v>
      </c>
      <c r="G11" s="166" t="s">
        <v>374</v>
      </c>
      <c r="H11" s="164" t="s">
        <v>108</v>
      </c>
      <c r="I11" s="164" t="s">
        <v>108</v>
      </c>
      <c r="J11" s="168" t="s">
        <v>138</v>
      </c>
      <c r="K11" s="167" t="s">
        <v>375</v>
      </c>
      <c r="L11" s="164" t="s">
        <v>108</v>
      </c>
      <c r="M11" s="170" t="s">
        <v>324</v>
      </c>
      <c r="N11" s="163" t="s">
        <v>149</v>
      </c>
      <c r="O11" s="164" t="s">
        <v>108</v>
      </c>
      <c r="P11" s="164" t="s">
        <v>108</v>
      </c>
      <c r="Q11" s="164" t="s">
        <v>108</v>
      </c>
      <c r="R11" s="172" t="s">
        <v>106</v>
      </c>
      <c r="S11" s="172" t="s">
        <v>106</v>
      </c>
      <c r="T11" s="164" t="s">
        <v>108</v>
      </c>
      <c r="U11" s="164" t="s">
        <v>108</v>
      </c>
      <c r="V11" s="171" t="s">
        <v>377</v>
      </c>
      <c r="W11" s="170" t="s">
        <v>324</v>
      </c>
      <c r="X11" s="165" t="s">
        <v>373</v>
      </c>
      <c r="Y11" s="164" t="s">
        <v>108</v>
      </c>
      <c r="Z11" s="163" t="s">
        <v>149</v>
      </c>
      <c r="AA11" s="169" t="s">
        <v>376</v>
      </c>
    </row>
    <row r="12" spans="1:27" ht="15.75" customHeight="1">
      <c r="A12" s="63" t="s">
        <v>124</v>
      </c>
      <c r="B12" s="164" t="s">
        <v>108</v>
      </c>
      <c r="C12" s="163" t="s">
        <v>149</v>
      </c>
      <c r="D12" s="164" t="s">
        <v>108</v>
      </c>
      <c r="E12" s="164" t="s">
        <v>108</v>
      </c>
      <c r="F12" s="170" t="s">
        <v>324</v>
      </c>
      <c r="G12" s="171" t="s">
        <v>377</v>
      </c>
      <c r="H12" s="164" t="s">
        <v>108</v>
      </c>
      <c r="I12" s="166" t="s">
        <v>374</v>
      </c>
      <c r="J12" s="169" t="s">
        <v>376</v>
      </c>
      <c r="K12" s="164" t="s">
        <v>108</v>
      </c>
      <c r="L12" s="163" t="s">
        <v>149</v>
      </c>
      <c r="M12" s="164" t="s">
        <v>108</v>
      </c>
      <c r="N12" s="172" t="s">
        <v>106</v>
      </c>
      <c r="O12" s="172" t="s">
        <v>106</v>
      </c>
      <c r="P12" s="165" t="s">
        <v>373</v>
      </c>
      <c r="Q12" s="163" t="s">
        <v>149</v>
      </c>
      <c r="R12" s="164" t="s">
        <v>108</v>
      </c>
      <c r="S12" s="164" t="s">
        <v>108</v>
      </c>
      <c r="T12" s="164" t="s">
        <v>108</v>
      </c>
      <c r="U12" s="164" t="s">
        <v>108</v>
      </c>
      <c r="V12" s="168" t="s">
        <v>138</v>
      </c>
      <c r="W12" s="167" t="s">
        <v>375</v>
      </c>
      <c r="X12" s="170" t="s">
        <v>324</v>
      </c>
      <c r="Y12" s="164" t="s">
        <v>108</v>
      </c>
      <c r="Z12" s="165" t="s">
        <v>373</v>
      </c>
      <c r="AA12" s="164" t="s">
        <v>108</v>
      </c>
    </row>
    <row r="13" spans="1:27" ht="15.75" customHeight="1">
      <c r="A13" s="28" t="s">
        <v>381</v>
      </c>
      <c r="B13" s="164" t="s">
        <v>108</v>
      </c>
      <c r="C13" s="164" t="s">
        <v>108</v>
      </c>
      <c r="D13" s="164" t="s">
        <v>108</v>
      </c>
      <c r="E13" s="164" t="s">
        <v>108</v>
      </c>
      <c r="F13" s="170" t="s">
        <v>324</v>
      </c>
      <c r="G13" s="165" t="s">
        <v>373</v>
      </c>
      <c r="H13" s="169" t="s">
        <v>376</v>
      </c>
      <c r="I13" s="164" t="s">
        <v>108</v>
      </c>
      <c r="J13" s="163" t="s">
        <v>149</v>
      </c>
      <c r="K13" s="171" t="s">
        <v>377</v>
      </c>
      <c r="L13" s="164" t="s">
        <v>108</v>
      </c>
      <c r="M13" s="163" t="s">
        <v>149</v>
      </c>
      <c r="N13" s="164" t="s">
        <v>108</v>
      </c>
      <c r="O13" s="164" t="s">
        <v>108</v>
      </c>
      <c r="P13" s="163" t="s">
        <v>149</v>
      </c>
      <c r="Q13" s="164" t="s">
        <v>108</v>
      </c>
      <c r="R13" s="165" t="s">
        <v>373</v>
      </c>
      <c r="S13" s="166" t="s">
        <v>374</v>
      </c>
      <c r="T13" s="170" t="s">
        <v>324</v>
      </c>
      <c r="U13" s="164" t="s">
        <v>108</v>
      </c>
      <c r="V13" s="164" t="s">
        <v>108</v>
      </c>
      <c r="W13" s="164" t="s">
        <v>108</v>
      </c>
      <c r="X13" s="172" t="s">
        <v>106</v>
      </c>
      <c r="Y13" s="172" t="s">
        <v>106</v>
      </c>
      <c r="Z13" s="168" t="s">
        <v>138</v>
      </c>
      <c r="AA13" s="167" t="s">
        <v>375</v>
      </c>
    </row>
    <row r="14" spans="1:27" ht="15.75" customHeight="1">
      <c r="A14" s="63" t="s">
        <v>194</v>
      </c>
      <c r="B14" s="164" t="s">
        <v>108</v>
      </c>
      <c r="C14" s="169" t="s">
        <v>376</v>
      </c>
      <c r="D14" s="164" t="s">
        <v>108</v>
      </c>
      <c r="E14" s="164" t="s">
        <v>108</v>
      </c>
      <c r="F14" s="163" t="s">
        <v>149</v>
      </c>
      <c r="G14" s="164" t="s">
        <v>108</v>
      </c>
      <c r="H14" s="170" t="s">
        <v>324</v>
      </c>
      <c r="I14" s="164" t="s">
        <v>108</v>
      </c>
      <c r="J14" s="172" t="s">
        <v>106</v>
      </c>
      <c r="K14" s="172" t="s">
        <v>106</v>
      </c>
      <c r="L14" s="168" t="s">
        <v>138</v>
      </c>
      <c r="M14" s="167" t="s">
        <v>375</v>
      </c>
      <c r="N14" s="165" t="s">
        <v>373</v>
      </c>
      <c r="O14" s="163" t="s">
        <v>149</v>
      </c>
      <c r="P14" s="164" t="s">
        <v>108</v>
      </c>
      <c r="Q14" s="164" t="s">
        <v>108</v>
      </c>
      <c r="R14" s="166" t="s">
        <v>374</v>
      </c>
      <c r="S14" s="171" t="s">
        <v>377</v>
      </c>
      <c r="T14" s="164" t="s">
        <v>108</v>
      </c>
      <c r="U14" s="170" t="s">
        <v>324</v>
      </c>
      <c r="V14" s="164" t="s">
        <v>108</v>
      </c>
      <c r="W14" s="164" t="s">
        <v>108</v>
      </c>
      <c r="X14" s="163" t="s">
        <v>149</v>
      </c>
      <c r="Y14" s="164" t="s">
        <v>108</v>
      </c>
      <c r="Z14" s="165" t="s">
        <v>373</v>
      </c>
      <c r="AA14" s="164" t="s">
        <v>108</v>
      </c>
    </row>
    <row r="15" spans="1:27" ht="15.75" customHeight="1">
      <c r="A15" s="28" t="s">
        <v>126</v>
      </c>
      <c r="B15" s="166" t="s">
        <v>374</v>
      </c>
      <c r="C15" s="164" t="s">
        <v>108</v>
      </c>
      <c r="D15" s="165" t="s">
        <v>373</v>
      </c>
      <c r="E15" s="169" t="s">
        <v>376</v>
      </c>
      <c r="F15" s="172" t="s">
        <v>106</v>
      </c>
      <c r="G15" s="172" t="s">
        <v>106</v>
      </c>
      <c r="H15" s="164" t="s">
        <v>108</v>
      </c>
      <c r="I15" s="171" t="s">
        <v>377</v>
      </c>
      <c r="J15" s="164" t="s">
        <v>108</v>
      </c>
      <c r="K15" s="163" t="s">
        <v>149</v>
      </c>
      <c r="L15" s="170" t="s">
        <v>324</v>
      </c>
      <c r="M15" s="164" t="s">
        <v>108</v>
      </c>
      <c r="N15" s="167" t="s">
        <v>375</v>
      </c>
      <c r="O15" s="168" t="s">
        <v>138</v>
      </c>
      <c r="P15" s="164" t="s">
        <v>108</v>
      </c>
      <c r="Q15" s="163" t="s">
        <v>149</v>
      </c>
      <c r="R15" s="164" t="s">
        <v>108</v>
      </c>
      <c r="S15" s="164" t="s">
        <v>108</v>
      </c>
      <c r="T15" s="165" t="s">
        <v>373</v>
      </c>
      <c r="U15" s="164" t="s">
        <v>108</v>
      </c>
      <c r="V15" s="163" t="s">
        <v>149</v>
      </c>
      <c r="W15" s="164" t="s">
        <v>108</v>
      </c>
      <c r="X15" s="164" t="s">
        <v>108</v>
      </c>
      <c r="Y15" s="170" t="s">
        <v>324</v>
      </c>
      <c r="Z15" s="164" t="s">
        <v>108</v>
      </c>
      <c r="AA15" s="164" t="s">
        <v>108</v>
      </c>
    </row>
    <row r="16" spans="1:27" ht="15.75" customHeight="1">
      <c r="A16" s="28" t="s">
        <v>97</v>
      </c>
      <c r="B16" s="169" t="s">
        <v>376</v>
      </c>
      <c r="C16" s="171" t="s">
        <v>377</v>
      </c>
      <c r="D16" s="164" t="s">
        <v>108</v>
      </c>
      <c r="E16" s="163" t="s">
        <v>149</v>
      </c>
      <c r="F16" s="164" t="s">
        <v>108</v>
      </c>
      <c r="G16" s="164" t="s">
        <v>108</v>
      </c>
      <c r="H16" s="164" t="s">
        <v>108</v>
      </c>
      <c r="I16" s="164" t="s">
        <v>108</v>
      </c>
      <c r="J16" s="164" t="s">
        <v>108</v>
      </c>
      <c r="K16" s="164" t="s">
        <v>108</v>
      </c>
      <c r="L16" s="167" t="s">
        <v>375</v>
      </c>
      <c r="M16" s="168" t="s">
        <v>138</v>
      </c>
      <c r="N16" s="164" t="s">
        <v>108</v>
      </c>
      <c r="O16" s="170" t="s">
        <v>324</v>
      </c>
      <c r="P16" s="163" t="s">
        <v>149</v>
      </c>
      <c r="Q16" s="165" t="s">
        <v>373</v>
      </c>
      <c r="R16" s="164" t="s">
        <v>108</v>
      </c>
      <c r="S16" s="165" t="s">
        <v>373</v>
      </c>
      <c r="T16" s="172" t="s">
        <v>106</v>
      </c>
      <c r="U16" s="172" t="s">
        <v>106</v>
      </c>
      <c r="V16" s="166" t="s">
        <v>374</v>
      </c>
      <c r="W16" s="164" t="s">
        <v>108</v>
      </c>
      <c r="X16" s="164" t="s">
        <v>108</v>
      </c>
      <c r="Y16" s="170" t="s">
        <v>324</v>
      </c>
      <c r="Z16" s="164" t="s">
        <v>108</v>
      </c>
      <c r="AA16" s="163" t="s">
        <v>149</v>
      </c>
    </row>
    <row r="17" spans="1:27" ht="15.75" customHeight="1">
      <c r="A17" s="28" t="s">
        <v>192</v>
      </c>
      <c r="B17" s="165" t="s">
        <v>373</v>
      </c>
      <c r="C17" s="182" t="s">
        <v>331</v>
      </c>
      <c r="D17" s="164" t="s">
        <v>108</v>
      </c>
      <c r="E17" s="163" t="s">
        <v>149</v>
      </c>
      <c r="F17" s="179" t="s">
        <v>377</v>
      </c>
      <c r="G17" s="164" t="s">
        <v>108</v>
      </c>
      <c r="H17" s="164" t="s">
        <v>108</v>
      </c>
      <c r="I17" s="170" t="s">
        <v>324</v>
      </c>
      <c r="J17" s="164" t="s">
        <v>108</v>
      </c>
      <c r="K17" s="164" t="s">
        <v>108</v>
      </c>
      <c r="L17" s="164" t="s">
        <v>108</v>
      </c>
      <c r="M17" s="164" t="s">
        <v>108</v>
      </c>
      <c r="N17" s="163" t="s">
        <v>149</v>
      </c>
      <c r="O17" s="165" t="s">
        <v>373</v>
      </c>
      <c r="P17" s="164" t="s">
        <v>108</v>
      </c>
      <c r="Q17" s="174" t="s">
        <v>374</v>
      </c>
      <c r="R17" s="178" t="s">
        <v>138</v>
      </c>
      <c r="S17" s="177" t="s">
        <v>375</v>
      </c>
      <c r="T17" s="164" t="s">
        <v>108</v>
      </c>
      <c r="U17" s="170" t="s">
        <v>324</v>
      </c>
      <c r="V17" s="173" t="s">
        <v>376</v>
      </c>
      <c r="W17" s="164" t="s">
        <v>108</v>
      </c>
      <c r="X17" s="164" t="s">
        <v>108</v>
      </c>
      <c r="Y17" s="164" t="s">
        <v>108</v>
      </c>
      <c r="Z17" s="175" t="s">
        <v>106</v>
      </c>
      <c r="AA17" s="175" t="s">
        <v>106</v>
      </c>
    </row>
    <row r="18" spans="1:27" ht="15.75" customHeight="1">
      <c r="A18" s="28" t="s">
        <v>129</v>
      </c>
      <c r="B18" s="163" t="s">
        <v>149</v>
      </c>
      <c r="C18" s="164" t="s">
        <v>108</v>
      </c>
      <c r="D18" s="171" t="s">
        <v>377</v>
      </c>
      <c r="E18" s="170" t="s">
        <v>324</v>
      </c>
      <c r="F18" s="164" t="s">
        <v>108</v>
      </c>
      <c r="G18" s="164" t="s">
        <v>108</v>
      </c>
      <c r="H18" s="167" t="s">
        <v>375</v>
      </c>
      <c r="I18" s="168" t="s">
        <v>138</v>
      </c>
      <c r="J18" s="166" t="s">
        <v>374</v>
      </c>
      <c r="K18" s="164" t="s">
        <v>108</v>
      </c>
      <c r="L18" s="172" t="s">
        <v>106</v>
      </c>
      <c r="M18" s="172" t="s">
        <v>106</v>
      </c>
      <c r="N18" s="164" t="s">
        <v>108</v>
      </c>
      <c r="O18" s="169" t="s">
        <v>376</v>
      </c>
      <c r="P18" s="165" t="s">
        <v>373</v>
      </c>
      <c r="Q18" s="163" t="s">
        <v>149</v>
      </c>
      <c r="R18" s="164" t="s">
        <v>108</v>
      </c>
      <c r="S18" s="164" t="s">
        <v>108</v>
      </c>
      <c r="T18" s="164" t="s">
        <v>108</v>
      </c>
      <c r="U18" s="163" t="s">
        <v>149</v>
      </c>
      <c r="V18" s="165" t="s">
        <v>373</v>
      </c>
      <c r="W18" s="164" t="s">
        <v>108</v>
      </c>
      <c r="X18" s="170" t="s">
        <v>324</v>
      </c>
      <c r="Y18" s="164" t="s">
        <v>108</v>
      </c>
      <c r="Z18" s="164" t="s">
        <v>108</v>
      </c>
      <c r="AA18" s="164" t="s">
        <v>108</v>
      </c>
    </row>
    <row r="19" spans="1:27" ht="15.75" customHeight="1">
      <c r="A19" s="28" t="s">
        <v>382</v>
      </c>
      <c r="B19" s="164" t="s">
        <v>108</v>
      </c>
      <c r="C19" s="164" t="s">
        <v>108</v>
      </c>
      <c r="D19" s="169" t="s">
        <v>376</v>
      </c>
      <c r="E19" s="164" t="s">
        <v>108</v>
      </c>
      <c r="F19" s="170" t="s">
        <v>324</v>
      </c>
      <c r="G19" s="165" t="s">
        <v>373</v>
      </c>
      <c r="H19" s="164" t="s">
        <v>108</v>
      </c>
      <c r="I19" s="164" t="s">
        <v>108</v>
      </c>
      <c r="J19" s="164" t="s">
        <v>108</v>
      </c>
      <c r="K19" s="163" t="s">
        <v>149</v>
      </c>
      <c r="L19" s="171" t="s">
        <v>377</v>
      </c>
      <c r="M19" s="166" t="s">
        <v>374</v>
      </c>
      <c r="N19" s="164" t="s">
        <v>108</v>
      </c>
      <c r="O19" s="164" t="s">
        <v>108</v>
      </c>
      <c r="P19" s="172" t="s">
        <v>106</v>
      </c>
      <c r="Q19" s="172" t="s">
        <v>106</v>
      </c>
      <c r="R19" s="163" t="s">
        <v>149</v>
      </c>
      <c r="S19" s="170" t="s">
        <v>324</v>
      </c>
      <c r="T19" s="164" t="s">
        <v>108</v>
      </c>
      <c r="U19" s="163" t="s">
        <v>149</v>
      </c>
      <c r="V19" s="164" t="s">
        <v>108</v>
      </c>
      <c r="W19" s="165" t="s">
        <v>373</v>
      </c>
      <c r="X19" s="164" t="s">
        <v>108</v>
      </c>
      <c r="Y19" s="164" t="s">
        <v>108</v>
      </c>
      <c r="Z19" s="167" t="s">
        <v>375</v>
      </c>
      <c r="AA19" s="168" t="s">
        <v>138</v>
      </c>
    </row>
    <row r="20" spans="1:27" ht="15.75" customHeight="1">
      <c r="A20" s="28" t="s">
        <v>131</v>
      </c>
      <c r="B20" s="164" t="s">
        <v>108</v>
      </c>
      <c r="C20" s="164" t="s">
        <v>108</v>
      </c>
      <c r="D20" s="163" t="s">
        <v>149</v>
      </c>
      <c r="E20" s="164" t="s">
        <v>108</v>
      </c>
      <c r="F20" s="169" t="s">
        <v>376</v>
      </c>
      <c r="G20" s="164" t="s">
        <v>108</v>
      </c>
      <c r="H20" s="171" t="s">
        <v>377</v>
      </c>
      <c r="I20" s="164" t="s">
        <v>108</v>
      </c>
      <c r="J20" s="163" t="s">
        <v>149</v>
      </c>
      <c r="K20" s="164" t="s">
        <v>108</v>
      </c>
      <c r="L20" s="170" t="s">
        <v>324</v>
      </c>
      <c r="M20" s="164" t="s">
        <v>108</v>
      </c>
      <c r="N20" s="164" t="s">
        <v>108</v>
      </c>
      <c r="O20" s="166" t="s">
        <v>374</v>
      </c>
      <c r="P20" s="164" t="s">
        <v>108</v>
      </c>
      <c r="Q20" s="164" t="s">
        <v>108</v>
      </c>
      <c r="R20" s="164" t="s">
        <v>108</v>
      </c>
      <c r="S20" s="164" t="s">
        <v>108</v>
      </c>
      <c r="T20" s="167" t="s">
        <v>375</v>
      </c>
      <c r="U20" s="168" t="s">
        <v>138</v>
      </c>
      <c r="V20" s="163" t="s">
        <v>149</v>
      </c>
      <c r="W20" s="165" t="s">
        <v>373</v>
      </c>
      <c r="X20" s="165" t="s">
        <v>373</v>
      </c>
      <c r="Y20" s="170" t="s">
        <v>324</v>
      </c>
      <c r="Z20" s="172" t="s">
        <v>106</v>
      </c>
      <c r="AA20" s="172" t="s">
        <v>106</v>
      </c>
    </row>
    <row r="21" spans="1:27" ht="15.75" customHeight="1">
      <c r="A21" s="183" t="s">
        <v>176</v>
      </c>
      <c r="B21" s="184" t="s">
        <v>106</v>
      </c>
      <c r="C21" s="184" t="s">
        <v>106</v>
      </c>
      <c r="D21" s="170" t="s">
        <v>324</v>
      </c>
      <c r="E21" s="164" t="s">
        <v>108</v>
      </c>
      <c r="F21" s="164" t="s">
        <v>108</v>
      </c>
      <c r="G21" s="163" t="s">
        <v>149</v>
      </c>
      <c r="H21" s="168" t="s">
        <v>138</v>
      </c>
      <c r="I21" s="167" t="s">
        <v>375</v>
      </c>
      <c r="J21" s="164" t="s">
        <v>108</v>
      </c>
      <c r="K21" s="164" t="s">
        <v>108</v>
      </c>
      <c r="L21" s="164" t="s">
        <v>108</v>
      </c>
      <c r="M21" s="185" t="s">
        <v>377</v>
      </c>
      <c r="N21" s="164" t="s">
        <v>108</v>
      </c>
      <c r="O21" s="164" t="s">
        <v>108</v>
      </c>
      <c r="P21" s="164" t="s">
        <v>108</v>
      </c>
      <c r="Q21" s="164" t="s">
        <v>108</v>
      </c>
      <c r="R21" s="170" t="s">
        <v>324</v>
      </c>
      <c r="S21" s="163" t="s">
        <v>149</v>
      </c>
      <c r="T21" s="164" t="s">
        <v>108</v>
      </c>
      <c r="U21" s="165" t="s">
        <v>373</v>
      </c>
      <c r="V21" s="164" t="s">
        <v>108</v>
      </c>
      <c r="W21" s="164" t="s">
        <v>108</v>
      </c>
      <c r="X21" s="169" t="s">
        <v>376</v>
      </c>
      <c r="Y21" s="164" t="s">
        <v>108</v>
      </c>
      <c r="Z21" s="186" t="s">
        <v>374</v>
      </c>
      <c r="AA21" s="163" t="s">
        <v>149</v>
      </c>
    </row>
    <row r="22" spans="1:27" ht="13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ht="13">
      <c r="B23" s="163" t="s">
        <v>149</v>
      </c>
      <c r="C23" s="248" t="s">
        <v>383</v>
      </c>
      <c r="D23" s="217"/>
      <c r="E23" s="218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ht="13">
      <c r="B24" s="172" t="s">
        <v>106</v>
      </c>
      <c r="C24" s="249" t="s">
        <v>384</v>
      </c>
      <c r="D24" s="217"/>
      <c r="E24" s="218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ht="13">
      <c r="B25" s="165" t="s">
        <v>373</v>
      </c>
      <c r="C25" s="250" t="s">
        <v>385</v>
      </c>
      <c r="D25" s="217"/>
      <c r="E25" s="218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13">
      <c r="B26" s="166" t="s">
        <v>374</v>
      </c>
      <c r="C26" s="251" t="s">
        <v>386</v>
      </c>
      <c r="D26" s="217"/>
      <c r="E26" s="218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3">
      <c r="B27" s="171" t="s">
        <v>377</v>
      </c>
      <c r="C27" s="252" t="s">
        <v>377</v>
      </c>
      <c r="D27" s="217"/>
      <c r="E27" s="218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ht="13">
      <c r="B28" s="167" t="s">
        <v>375</v>
      </c>
      <c r="C28" s="253" t="s">
        <v>387</v>
      </c>
      <c r="D28" s="217"/>
      <c r="E28" s="218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ht="13">
      <c r="B29" s="168" t="s">
        <v>138</v>
      </c>
      <c r="C29" s="254" t="s">
        <v>388</v>
      </c>
      <c r="D29" s="217"/>
      <c r="E29" s="218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ht="13">
      <c r="B30" s="164" t="s">
        <v>108</v>
      </c>
      <c r="C30" s="245" t="s">
        <v>356</v>
      </c>
      <c r="D30" s="217"/>
      <c r="E30" s="218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ht="13">
      <c r="B31" s="169" t="s">
        <v>376</v>
      </c>
      <c r="C31" s="246" t="s">
        <v>389</v>
      </c>
      <c r="D31" s="217"/>
      <c r="E31" s="218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3">
      <c r="B32" s="170" t="s">
        <v>324</v>
      </c>
      <c r="C32" s="247" t="s">
        <v>390</v>
      </c>
      <c r="D32" s="217"/>
      <c r="E32" s="218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1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1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13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13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1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13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13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1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2:27" ht="13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2:27" ht="13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2:27" ht="1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2:27" ht="13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2:27" ht="13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2:27" ht="13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2:27" ht="13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2:27" ht="13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2:27" ht="13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2:27" ht="1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2:27" ht="13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2:27" ht="13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2:27" ht="1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2:27" ht="13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2:27" ht="13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2:27" ht="13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2:27" ht="13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2:27" ht="13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ht="13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2:27" ht="13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2:27" ht="13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2:27" ht="13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ht="13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2:27" ht="13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2:27" ht="13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2:27" ht="13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2:27" ht="13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spans="2:27" ht="13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2:27" ht="13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spans="2:27" ht="13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spans="2:27" ht="13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2:27" ht="13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2:27" ht="13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spans="2:27" ht="13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spans="2:27" ht="13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2:27" ht="13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2:27" ht="13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spans="2:27" ht="13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spans="2:27" ht="13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spans="2:27" ht="13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spans="2:27" ht="13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2:27" ht="13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spans="2:27" ht="13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spans="2:27" ht="13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2:27" ht="13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spans="2:27" ht="13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spans="2:27" ht="13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spans="2:27" ht="13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spans="2:27" ht="13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spans="2:27" ht="13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spans="2:27" ht="13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2:27" ht="13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2:27" ht="13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2:27" ht="13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spans="2:27" ht="13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spans="2:27" ht="13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spans="2:27" ht="13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spans="2:27" ht="13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spans="2:27" ht="13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spans="2:27" ht="13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spans="2:27" ht="13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spans="2:27" ht="13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spans="2:27" ht="13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spans="2:27" ht="13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spans="2:27" ht="13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spans="2:27" ht="13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spans="2:27" ht="13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spans="2:27" ht="13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spans="2:27" ht="13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spans="2:27" ht="13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spans="2:27" ht="13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spans="2:27" ht="13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spans="2:27" ht="13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spans="2:27" ht="13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spans="2:27" ht="13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spans="2:27" ht="13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spans="2:27" ht="13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spans="2:27" ht="13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spans="2:27" ht="13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spans="2:27" ht="13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spans="2:27" ht="13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spans="2:27" ht="13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spans="2:27" ht="13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spans="2:27" ht="13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spans="2:27" ht="13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spans="2:27" ht="13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spans="2:27" ht="13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spans="2:27" ht="13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spans="2:27" ht="13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spans="2:27" ht="13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spans="2:27" ht="13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spans="2:27" ht="13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spans="2:27" ht="13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spans="2:27" ht="13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spans="2:27" ht="13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spans="2:27" ht="13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spans="2:27" ht="13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spans="2:27" ht="13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spans="2:27" ht="13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spans="2:27" ht="13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spans="2:27" ht="13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spans="2:27" ht="13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spans="2:27" ht="13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spans="2:27" ht="13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spans="2:27" ht="13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spans="2:27" ht="13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spans="2:27" ht="13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spans="2:27" ht="13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spans="2:27" ht="13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spans="2:27" ht="13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spans="2:27" ht="13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spans="2:27" ht="13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spans="2:27" ht="13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spans="2:27" ht="13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spans="2:27" ht="13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spans="2:27" ht="13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spans="2:27" ht="13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spans="2:27" ht="13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spans="2:27" ht="13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spans="2:27" ht="13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spans="2:27" ht="13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spans="2:27" ht="13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spans="2:27" ht="1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spans="2:27" ht="13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spans="2:27" ht="13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spans="2:27" ht="13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spans="2:27" ht="13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spans="2:27" ht="13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spans="2:27" ht="13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spans="2:27" ht="13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spans="2:27" ht="13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spans="2:27" ht="13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spans="2:27" ht="1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spans="2:27" ht="13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spans="2:27" ht="13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spans="2:27" ht="13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spans="2:27" ht="13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spans="2:27" ht="13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spans="2:27" ht="13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spans="2:27" ht="13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spans="2:27" ht="13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spans="2:27" ht="13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spans="2:27" ht="1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spans="2:27" ht="13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spans="2:27" ht="13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spans="2:27" ht="13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spans="2:27" ht="13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spans="2:27" ht="13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spans="2:27" ht="13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spans="2:27" ht="13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spans="2:27" ht="13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spans="2:27" ht="13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spans="2:27" ht="1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spans="2:27" ht="13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spans="2:27" ht="13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spans="2:27" ht="13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spans="2:27" ht="13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spans="2:27" ht="13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spans="2:27" ht="13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spans="2:27" ht="13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spans="2:27" ht="13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spans="2:27" ht="13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spans="2:27" ht="1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spans="2:27" ht="13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spans="2:27" ht="13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spans="2:27" ht="13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spans="2:27" ht="13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spans="2:27" ht="13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spans="2:27" ht="13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spans="2:27" ht="13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spans="2:27" ht="13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spans="2:27" ht="13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spans="2:27" ht="13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spans="2:27" ht="13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spans="2:27" ht="13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spans="2:27" ht="13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spans="2:27" ht="13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spans="2:27" ht="13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spans="2:27" ht="13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spans="2:27" ht="13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spans="2:27" ht="13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spans="2:27" ht="13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spans="2:27" ht="13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spans="2:27" ht="13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spans="2:27" ht="13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spans="2:27" ht="13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spans="2:27" ht="13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spans="2:27" ht="13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spans="2:27" ht="13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spans="2:27" ht="13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spans="2:27" ht="13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spans="2:27" ht="13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spans="2:27" ht="13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spans="2:27" ht="13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2:27" ht="13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spans="2:27" ht="13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spans="2:27" ht="13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spans="2:27" ht="13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spans="2:27" ht="13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spans="2:27" ht="13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spans="2:27" ht="13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2:27" ht="13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spans="2:27" ht="13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spans="2:27" ht="13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spans="2:27" ht="13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spans="2:27" ht="13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spans="2:27" ht="13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spans="2:27" ht="13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spans="2:27" ht="13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spans="2:27" ht="13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spans="2:27" ht="13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spans="2:27" ht="13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spans="2:27" ht="13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spans="2:27" ht="13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spans="2:27" ht="13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spans="2:27" ht="13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spans="2:27" ht="13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spans="2:27" ht="13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spans="2:27" ht="13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spans="2:27" ht="13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spans="2:27" ht="13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spans="2:27" ht="13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spans="2:27" ht="13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spans="2:27" ht="13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spans="2:27" ht="13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spans="2:27" ht="13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spans="2:27" ht="13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spans="2:27" ht="13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spans="2:27" ht="13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spans="2:27" ht="13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spans="2:27" ht="13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spans="2:27" ht="13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spans="2:27" ht="13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spans="2:27" ht="13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spans="2:27" ht="13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spans="2:27" ht="13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spans="2:27" ht="13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spans="2:27" ht="13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spans="2:27" ht="13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spans="2:27" ht="13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spans="2:27" ht="13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spans="2:27" ht="13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spans="2:27" ht="13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spans="2:27" ht="13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spans="2:27" ht="13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spans="2:27" ht="13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spans="2:27" ht="13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spans="2:27" ht="13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spans="2:27" ht="13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spans="2:27" ht="13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spans="2:27" ht="13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spans="2:27" ht="13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spans="2:27" ht="13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spans="2:27" ht="13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spans="2:27" ht="13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spans="2:27" ht="13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spans="2:27" ht="13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spans="2:27" ht="13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spans="2:27" ht="13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spans="2:27" ht="13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spans="2:27" ht="13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spans="2:27" ht="13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spans="2:27" ht="13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spans="2:27" ht="13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spans="2:27" ht="13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spans="2:27" ht="13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spans="2:27" ht="13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spans="2:27" ht="13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spans="2:27" ht="13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spans="2:27" ht="13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spans="2:27" ht="13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spans="2:27" ht="13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spans="2:27" ht="13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spans="2:27" ht="13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spans="2:27" ht="13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spans="2:27" ht="13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spans="2:27" ht="13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spans="2:27" ht="13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spans="2:27" ht="13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spans="2:27" ht="13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spans="2:27" ht="13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spans="2:27" ht="13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spans="2:27" ht="13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spans="2:27" ht="13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spans="2:27" ht="13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spans="2:27" ht="13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spans="2:27" ht="13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spans="2:27" ht="13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spans="2:27" ht="13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spans="2:27" ht="13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spans="2:27" ht="13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spans="2:27" ht="13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spans="2:27" ht="13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spans="2:27" ht="13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spans="2:27" ht="13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spans="2:27" ht="13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spans="2:27" ht="13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spans="2:27" ht="13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spans="2:27" ht="13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spans="2:27" ht="13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spans="2:27" ht="13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spans="2:27" ht="13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spans="2:27" ht="13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spans="2:27" ht="13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spans="2:27" ht="13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spans="2:27" ht="13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spans="2:27" ht="13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spans="2:27" ht="13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spans="2:27" ht="13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spans="2:27" ht="13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spans="2:27" ht="13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spans="2:27" ht="13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spans="2:27" ht="13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spans="2:27" ht="13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spans="2:27" ht="13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spans="2:27" ht="13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spans="2:27" ht="13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spans="2:27" ht="13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spans="2:27" ht="13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spans="2:27" ht="13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spans="2:27" ht="13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spans="2:27" ht="13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spans="2:27" ht="13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spans="2:27" ht="13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spans="2:27" ht="13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spans="2:27" ht="13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spans="2:27" ht="13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spans="2:27" ht="13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spans="2:27" ht="13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spans="2:27" ht="13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spans="2:27" ht="13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spans="2:27" ht="13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spans="2:27" ht="13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spans="2:27" ht="13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spans="2:27" ht="13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spans="2:27" ht="13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spans="2:27" ht="13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spans="2:27" ht="13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spans="2:27" ht="13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spans="2:27" ht="13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spans="2:27" ht="13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spans="2:27" ht="13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spans="2:27" ht="13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spans="2:27" ht="13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spans="2:27" ht="13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spans="2:27" ht="13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spans="2:27" ht="13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spans="2:27" ht="13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spans="2:27" ht="13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spans="2:27" ht="13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spans="2:27" ht="13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spans="2:27" ht="13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spans="2:27" ht="13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spans="2:27" ht="13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spans="2:27" ht="13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spans="2:27" ht="13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spans="2:27" ht="13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spans="2:27" ht="13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spans="2:27" ht="13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spans="2:27" ht="13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spans="2:27" ht="13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2:27" ht="13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spans="2:27" ht="13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spans="2:27" ht="13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spans="2:27" ht="13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spans="2:27" ht="13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spans="2:27" ht="13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spans="2:27" ht="13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spans="2:27" ht="13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spans="2:27" ht="13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spans="2:27" ht="13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spans="2:27" ht="13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spans="2:27" ht="13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spans="2:27" ht="13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spans="2:27" ht="13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spans="2:27" ht="13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spans="2:27" ht="13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2:27" ht="13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spans="2:27" ht="13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spans="2:27" ht="13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spans="2:27" ht="13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spans="2:27" ht="13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spans="2:27" ht="13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spans="2:27" ht="13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spans="2:27" ht="13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spans="2:27" ht="13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spans="2:27" ht="13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spans="2:27" ht="13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spans="2:27" ht="13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spans="2:27" ht="13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spans="2:27" ht="13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spans="2:27" ht="13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spans="2:27" ht="13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spans="2:27" ht="13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spans="2:27" ht="13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spans="2:27" ht="13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spans="2:27" ht="13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spans="2:27" ht="13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spans="2:27" ht="13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spans="2:27" ht="13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spans="2:27" ht="13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spans="2:27" ht="13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spans="2:27" ht="13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spans="2:27" ht="13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spans="2:27" ht="13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spans="2:27" ht="13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spans="2:27" ht="13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spans="2:27" ht="13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spans="2:27" ht="13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spans="2:27" ht="13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spans="2:27" ht="13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spans="2:27" ht="13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spans="2:27" ht="13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spans="2:27" ht="13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spans="2:27" ht="13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spans="2:27" ht="13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spans="2:27" ht="13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spans="2:27" ht="13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spans="2:27" ht="13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spans="2:27" ht="13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spans="2:27" ht="13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spans="2:27" ht="13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spans="2:27" ht="13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spans="2:27" ht="13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spans="2:27" ht="13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spans="2:27" ht="13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spans="2:27" ht="13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spans="2:27" ht="13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spans="2:27" ht="13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spans="2:27" ht="13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spans="2:27" ht="13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spans="2:27" ht="13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spans="2:27" ht="13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spans="2:27" ht="13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spans="2:27" ht="13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spans="2:27" ht="13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spans="2:27" ht="13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spans="2:27" ht="13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spans="2:27" ht="13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spans="2:27" ht="13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spans="2:27" ht="13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spans="2:27" ht="13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spans="2:27" ht="13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spans="2:27" ht="13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spans="2:27" ht="13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spans="2:27" ht="13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spans="2:27" ht="13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spans="2:27" ht="13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spans="2:27" ht="13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spans="2:27" ht="13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spans="2:27" ht="13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spans="2:27" ht="13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spans="2:27" ht="13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spans="2:27" ht="13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spans="2:27" ht="13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spans="2:27" ht="13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spans="2:27" ht="13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spans="2:27" ht="13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spans="2:27" ht="13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spans="2:27" ht="13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spans="2:27" ht="13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spans="2:27" ht="13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spans="2:27" ht="13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spans="2:27" ht="13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spans="2:27" ht="13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spans="2:27" ht="13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spans="2:27" ht="13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spans="2:27" ht="13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spans="2:27" ht="13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spans="2:27" ht="13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spans="2:27" ht="13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spans="2:27" ht="13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spans="2:27" ht="13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spans="2:27" ht="13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spans="2:27" ht="13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spans="2:27" ht="13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spans="2:27" ht="13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spans="2:27" ht="13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spans="2:27" ht="13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spans="2:27" ht="13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spans="2:27" ht="13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spans="2:27" ht="13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spans="2:27" ht="13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spans="2:27" ht="13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spans="2:27" ht="13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spans="2:27" ht="13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spans="2:27" ht="13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spans="2:27" ht="13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spans="2:27" ht="13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spans="2:27" ht="13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spans="2:27" ht="13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spans="2:27" ht="13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spans="2:27" ht="13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spans="2:27" ht="13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spans="2:27" ht="13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spans="2:27" ht="13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spans="2:27" ht="13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spans="2:27" ht="13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spans="2:27" ht="13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spans="2:27" ht="13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spans="2:27" ht="13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spans="2:27" ht="13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spans="2:27" ht="13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spans="2:27" ht="13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spans="2:27" ht="13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spans="2:27" ht="13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spans="2:27" ht="13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spans="2:27" ht="13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spans="2:27" ht="13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spans="2:27" ht="13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spans="2:27" ht="13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spans="2:27" ht="13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spans="2:27" ht="13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spans="2:27" ht="13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spans="2:27" ht="13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spans="2:27" ht="13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spans="2:27" ht="13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spans="2:27" ht="13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spans="2:27" ht="13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spans="2:27" ht="13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spans="2:27" ht="13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spans="2:27" ht="13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spans="2:27" ht="13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spans="2:27" ht="13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spans="2:27" ht="13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spans="2:27" ht="13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spans="2:27" ht="13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spans="2:27" ht="13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spans="2:27" ht="13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spans="2:27" ht="13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spans="2:27" ht="13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spans="2:27" ht="13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spans="2:27" ht="13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spans="2:27" ht="13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spans="2:27" ht="13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spans="2:27" ht="13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spans="2:27" ht="13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spans="2:27" ht="13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spans="2:27" ht="13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spans="2:27" ht="13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spans="2:27" ht="13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spans="2:27" ht="13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spans="2:27" ht="13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spans="2:27" ht="13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spans="2:27" ht="13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spans="2:27" ht="13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spans="2:27" ht="13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spans="2:27" ht="13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spans="2:27" ht="13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spans="2:27" ht="13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spans="2:27" ht="13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spans="2:27" ht="13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spans="2:27" ht="13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spans="2:27" ht="13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spans="2:27" ht="13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spans="2:27" ht="13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spans="2:27" ht="13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spans="2:27" ht="13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spans="2:27" ht="13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spans="2:27" ht="13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spans="2:27" ht="13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spans="2:27" ht="13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spans="2:27" ht="13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spans="2:27" ht="13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spans="2:27" ht="13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spans="2:27" ht="13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spans="2:27" ht="13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spans="2:27" ht="13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spans="2:27" ht="13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spans="2:27" ht="13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spans="2:27" ht="13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spans="2:27" ht="13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spans="2:27" ht="13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spans="2:27" ht="13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spans="2:27" ht="13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spans="2:27" ht="13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spans="2:27" ht="13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spans="2:27" ht="13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spans="2:27" ht="13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spans="2:27" ht="13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spans="2:27" ht="13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spans="2:27" ht="13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spans="2:27" ht="13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spans="2:27" ht="13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spans="2:27" ht="13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spans="2:27" ht="13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spans="2:27" ht="13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spans="2:27" ht="13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spans="2:27" ht="13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spans="2:27" ht="13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spans="2:27" ht="13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spans="2:27" ht="13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spans="2:27" ht="13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spans="2:27" ht="13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spans="2:27" ht="13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spans="2:27" ht="13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spans="2:27" ht="13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spans="2:27" ht="13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spans="2:27" ht="13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spans="2:27" ht="13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spans="2:27" ht="13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spans="2:27" ht="13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spans="2:27" ht="13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spans="2:27" ht="13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spans="2:27" ht="13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spans="2:27" ht="13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spans="2:27" ht="13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spans="2:27" ht="13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spans="2:27" ht="13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spans="2:27" ht="13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spans="2:27" ht="13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spans="2:27" ht="13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spans="2:27" ht="13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spans="2:27" ht="13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spans="2:27" ht="13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spans="2:27" ht="13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spans="2:27" ht="13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spans="2:27" ht="13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spans="2:27" ht="13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spans="2:27" ht="13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spans="2:27" ht="13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spans="2:27" ht="13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spans="2:27" ht="13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spans="2:27" ht="13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spans="2:27" ht="13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spans="2:27" ht="13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spans="2:27" ht="13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spans="2:27" ht="13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spans="2:27" ht="13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spans="2:27" ht="13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spans="2:27" ht="13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spans="2:27" ht="13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spans="2:27" ht="13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spans="2:27" ht="13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spans="2:27" ht="13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spans="2:27" ht="13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spans="2:27" ht="13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spans="2:27" ht="13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spans="2:27" ht="13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spans="2:27" ht="13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spans="2:27" ht="13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spans="2:27" ht="13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spans="2:27" ht="13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spans="2:27" ht="13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spans="2:27" ht="13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spans="2:27" ht="13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spans="2:27" ht="13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spans="2:27" ht="13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spans="2:27" ht="13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spans="2:27" ht="13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spans="2:27" ht="13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spans="2:27" ht="13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spans="2:27" ht="13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spans="2:27" ht="13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spans="2:27" ht="13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spans="2:27" ht="13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spans="2:27" ht="13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2:27" ht="13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spans="2:27" ht="13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spans="2:27" ht="13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spans="2:27" ht="13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spans="2:27" ht="13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spans="2:27" ht="13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spans="2:27" ht="13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spans="2:27" ht="13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spans="2:27" ht="13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spans="2:27" ht="13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spans="2:27" ht="13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spans="2:27" ht="13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spans="2:27" ht="13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spans="2:27" ht="13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spans="2:27" ht="13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spans="2:27" ht="13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spans="2:27" ht="13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spans="2:27" ht="13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spans="2:27" ht="13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spans="2:27" ht="13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spans="2:27" ht="13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spans="2:27" ht="13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spans="2:27" ht="13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spans="2:27" ht="13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spans="2:27" ht="13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spans="2:27" ht="13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spans="2:27" ht="13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spans="2:27" ht="13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spans="2:27" ht="13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spans="2:27" ht="13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spans="2:27" ht="13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spans="2:27" ht="13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spans="2:27" ht="13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spans="2:27" ht="13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spans="2:27" ht="13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spans="2:27" ht="13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spans="2:27" ht="13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spans="2:27" ht="13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spans="2:27" ht="13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spans="2:27" ht="13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spans="2:27" ht="13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spans="2:27" ht="13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spans="2:27" ht="13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spans="2:27" ht="13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spans="2:27" ht="13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spans="2:27" ht="13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spans="2:27" ht="13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spans="2:27" ht="13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spans="2:27" ht="13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spans="2:27" ht="13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spans="2:27" ht="13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spans="2:27" ht="13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spans="2:27" ht="13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spans="2:27" ht="13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spans="2:27" ht="13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spans="2:27" ht="13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spans="2:27" ht="13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spans="2:27" ht="13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spans="2:27" ht="13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spans="2:27" ht="13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spans="2:27" ht="13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spans="2:27" ht="13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spans="2:27" ht="13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spans="2:27" ht="13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spans="2:27" ht="13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spans="2:27" ht="13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spans="2:27" ht="13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spans="2:27" ht="13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spans="2:27" ht="13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spans="2:27" ht="13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spans="2:27" ht="13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spans="2:27" ht="13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spans="2:27" ht="13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spans="2:27" ht="13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spans="2:27" ht="13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spans="2:27" ht="13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spans="2:27" ht="13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spans="2:27" ht="13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spans="2:27" ht="13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spans="2:27" ht="13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spans="2:27" ht="13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spans="2:27" ht="13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spans="2:27" ht="13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spans="2:27" ht="13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spans="2:27" ht="13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spans="2:27" ht="13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spans="2:27" ht="13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spans="2:27" ht="13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spans="2:27" ht="13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spans="2:27" ht="13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spans="2:27" ht="13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spans="2:27" ht="13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spans="2:27" ht="13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spans="2:27" ht="13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spans="2:27" ht="13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spans="2:27" ht="13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spans="2:27" ht="13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spans="2:27" ht="13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spans="2:27" ht="13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spans="2:27" ht="13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spans="2:27" ht="13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spans="2:27" ht="13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spans="2:27" ht="13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spans="2:27" ht="13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spans="2:27" ht="13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spans="2:27" ht="13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spans="2:27" ht="13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spans="2:27" ht="13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spans="2:27" ht="13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spans="2:27" ht="13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spans="2:27" ht="13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spans="2:27" ht="13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spans="2:27" ht="13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spans="2:27" ht="13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spans="2:27" ht="13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spans="2:27" ht="13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spans="2:27" ht="13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spans="2:27" ht="13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spans="2:27" ht="13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spans="2:27" ht="13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spans="2:27" ht="13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spans="2:27" ht="13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spans="2:27" ht="13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spans="2:27" ht="13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spans="2:27" ht="13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spans="2:27" ht="13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spans="2:27" ht="13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spans="2:27" ht="13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spans="2:27" ht="13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spans="2:27" ht="13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spans="2:27" ht="13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spans="2:27" ht="13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spans="2:27" ht="13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spans="2:27" ht="13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spans="2:27" ht="13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spans="2:27" ht="13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spans="2:27" ht="13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spans="2:27" ht="13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spans="2:27" ht="13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spans="2:27" ht="13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spans="2:27" ht="13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spans="2:27" ht="13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spans="2:27" ht="13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spans="2:27" ht="13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spans="2:27" ht="13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spans="2:27" ht="13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spans="2:27" ht="13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spans="2:27" ht="13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spans="2:27" ht="13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spans="2:27" ht="13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spans="2:27" ht="13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spans="2:27" ht="13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spans="2:27" ht="13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spans="2:27" ht="13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spans="2:27" ht="13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spans="2:27" ht="13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spans="2:27" ht="13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spans="2:27" ht="13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spans="2:27" ht="13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spans="2:27" ht="13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spans="2:27" ht="13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spans="2:27" ht="13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spans="2:27" ht="13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spans="2:27" ht="13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spans="2:27" ht="13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spans="2:27" ht="13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spans="2:27" ht="13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spans="2:27" ht="13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spans="2:27" ht="13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spans="2:27" ht="13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spans="2:27" ht="13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spans="2:27" ht="13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spans="2:27" ht="13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spans="2:27" ht="13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spans="2:27" ht="13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spans="2:27" ht="13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spans="2:27" ht="13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spans="2:27" ht="13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spans="2:27" ht="13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spans="2:27" ht="13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spans="2:27" ht="13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spans="2:27" ht="13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spans="2:27" ht="13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spans="2:27" ht="13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spans="2:27" ht="13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spans="2:27" ht="13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spans="2:27" ht="13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spans="2:27" ht="13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spans="2:27" ht="13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spans="2:27" ht="13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spans="2:27" ht="13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spans="2:27" ht="13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spans="2:27" ht="13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spans="2:27" ht="13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spans="2:27" ht="13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spans="2:27" ht="13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spans="2:27" ht="13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spans="2:27" ht="13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spans="2:27" ht="13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spans="2:27" ht="13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spans="2:27" ht="13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spans="2:27" ht="13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spans="2:27" ht="13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spans="2:27" ht="13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spans="2:27" ht="13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spans="2:27" ht="13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spans="2:27" ht="13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spans="2:27" ht="13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 spans="2:27" ht="13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 spans="2:27" ht="13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spans="2:27" ht="13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spans="2:27" ht="13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 spans="2:27" ht="13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 spans="2:27" ht="13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 spans="2:27" ht="13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 spans="2:27" ht="13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 spans="2:27" ht="13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 spans="2:27" ht="13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 spans="2:27" ht="13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 spans="2:27" ht="13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 spans="2:27" ht="13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 spans="2:27" ht="13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 spans="2:27" ht="13"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 spans="2:27" ht="13"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 spans="2:27" ht="13"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 spans="2:27" ht="13"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 spans="2:27" ht="13"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 spans="2:27" ht="13"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 spans="2:27" ht="13"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 spans="2:27" ht="13"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 spans="2:27" ht="13"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 spans="2:27" ht="13"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 spans="2:27" ht="13"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 spans="2:27" ht="13"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 spans="2:27" ht="13"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 spans="2:27" ht="13"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 spans="2:27" ht="13"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 spans="2:27" ht="13"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 spans="2:27" ht="13"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 spans="2:27" ht="13"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 spans="2:27" ht="13"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 spans="2:27" ht="13"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 spans="2:27" ht="13"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 spans="2:27" ht="13"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 spans="2:27" ht="13"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spans="2:27" ht="13"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spans="2:27" ht="13"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 spans="2:27" ht="13"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 spans="2:27" ht="13"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 spans="2:27" ht="13"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 spans="2:27" ht="13"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 spans="2:27" ht="13"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 spans="2:27" ht="13"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 spans="2:27" ht="13"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 spans="2:27" ht="13"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 spans="2:27" ht="13"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 spans="2:27" ht="13"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 spans="2:27" ht="13"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 spans="2:27" ht="13"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 spans="2:27" ht="13"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 spans="2:27" ht="13"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 spans="2:27" ht="13"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 spans="2:27" ht="13"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 spans="2:27" ht="13"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 spans="2:27" ht="13"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 spans="2:27" ht="13"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 spans="2:27" ht="13"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 spans="2:27" ht="13"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 spans="2:27" ht="13"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</sheetData>
  <mergeCells count="10">
    <mergeCell ref="C30:E30"/>
    <mergeCell ref="C31:E31"/>
    <mergeCell ref="C32:E32"/>
    <mergeCell ref="C23:E23"/>
    <mergeCell ref="C24:E24"/>
    <mergeCell ref="C25:E25"/>
    <mergeCell ref="C26:E26"/>
    <mergeCell ref="C27:E27"/>
    <mergeCell ref="C28:E28"/>
    <mergeCell ref="C29:E2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1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/>
  <cols>
    <col min="1" max="1" width="24.83203125" customWidth="1"/>
    <col min="2" max="8" width="5.33203125" customWidth="1"/>
    <col min="9" max="9" width="6.83203125" customWidth="1"/>
    <col min="10" max="21" width="5.33203125" customWidth="1"/>
    <col min="22" max="22" width="6.5" customWidth="1"/>
    <col min="23" max="27" width="5.33203125" customWidth="1"/>
    <col min="28" max="28" width="6.33203125" customWidth="1"/>
  </cols>
  <sheetData>
    <row r="1" spans="1:28" ht="13">
      <c r="A1" s="157"/>
      <c r="B1" s="187" t="s">
        <v>294</v>
      </c>
      <c r="C1" s="106" t="s">
        <v>295</v>
      </c>
      <c r="D1" s="107" t="s">
        <v>296</v>
      </c>
      <c r="E1" s="110" t="s">
        <v>297</v>
      </c>
      <c r="F1" s="105" t="s">
        <v>298</v>
      </c>
      <c r="G1" s="106" t="s">
        <v>299</v>
      </c>
      <c r="H1" s="109" t="s">
        <v>300</v>
      </c>
      <c r="I1" s="110" t="s">
        <v>301</v>
      </c>
      <c r="J1" s="105" t="s">
        <v>302</v>
      </c>
      <c r="K1" s="106" t="s">
        <v>303</v>
      </c>
      <c r="L1" s="107" t="s">
        <v>304</v>
      </c>
      <c r="M1" s="110" t="s">
        <v>305</v>
      </c>
      <c r="N1" s="187" t="s">
        <v>306</v>
      </c>
      <c r="O1" s="112" t="s">
        <v>307</v>
      </c>
      <c r="P1" s="109" t="s">
        <v>308</v>
      </c>
      <c r="Q1" s="110" t="s">
        <v>309</v>
      </c>
      <c r="R1" s="111" t="s">
        <v>310</v>
      </c>
      <c r="S1" s="112" t="s">
        <v>311</v>
      </c>
      <c r="T1" s="188" t="s">
        <v>312</v>
      </c>
      <c r="U1" s="107" t="s">
        <v>313</v>
      </c>
      <c r="V1" s="112" t="s">
        <v>314</v>
      </c>
      <c r="W1" s="112" t="s">
        <v>315</v>
      </c>
      <c r="X1" s="109" t="s">
        <v>316</v>
      </c>
      <c r="Y1" s="108" t="s">
        <v>317</v>
      </c>
      <c r="Z1" s="111" t="s">
        <v>318</v>
      </c>
      <c r="AA1" s="188" t="s">
        <v>319</v>
      </c>
      <c r="AB1" s="108" t="s">
        <v>294</v>
      </c>
    </row>
    <row r="2" spans="1:28" ht="19.5" customHeight="1">
      <c r="B2" s="113">
        <v>44743</v>
      </c>
      <c r="C2" s="114">
        <v>45852</v>
      </c>
      <c r="D2" s="115">
        <v>45866</v>
      </c>
      <c r="E2" s="115">
        <v>45880</v>
      </c>
      <c r="F2" s="116">
        <v>45894</v>
      </c>
      <c r="G2" s="116">
        <v>45908</v>
      </c>
      <c r="H2" s="115">
        <v>45922</v>
      </c>
      <c r="I2" s="115">
        <v>45936</v>
      </c>
      <c r="J2" s="115">
        <v>45950</v>
      </c>
      <c r="K2" s="116">
        <v>45964</v>
      </c>
      <c r="L2" s="117">
        <v>45978</v>
      </c>
      <c r="M2" s="117">
        <v>45992</v>
      </c>
      <c r="N2" s="115">
        <v>46006</v>
      </c>
      <c r="O2" s="116">
        <v>46020</v>
      </c>
      <c r="P2" s="117">
        <v>45669</v>
      </c>
      <c r="Q2" s="117">
        <v>45683</v>
      </c>
      <c r="R2" s="118">
        <v>45697</v>
      </c>
      <c r="S2" s="118">
        <v>45711</v>
      </c>
      <c r="T2" s="115">
        <v>45725</v>
      </c>
      <c r="U2" s="115">
        <v>45739</v>
      </c>
      <c r="V2" s="118">
        <v>45753</v>
      </c>
      <c r="W2" s="115">
        <v>45767</v>
      </c>
      <c r="X2" s="117">
        <v>45781</v>
      </c>
      <c r="Y2" s="117">
        <v>45795</v>
      </c>
      <c r="Z2" s="118">
        <v>45809</v>
      </c>
      <c r="AA2" s="116">
        <v>45823</v>
      </c>
      <c r="AB2" s="189" t="s">
        <v>391</v>
      </c>
    </row>
    <row r="3" spans="1:28" ht="15.75" customHeight="1">
      <c r="A3" s="28" t="s">
        <v>174</v>
      </c>
      <c r="B3" s="190" t="s">
        <v>392</v>
      </c>
      <c r="C3" s="164" t="s">
        <v>108</v>
      </c>
      <c r="D3" s="163" t="s">
        <v>149</v>
      </c>
      <c r="E3" s="164" t="s">
        <v>108</v>
      </c>
      <c r="F3" s="164" t="s">
        <v>108</v>
      </c>
      <c r="G3" s="165" t="s">
        <v>373</v>
      </c>
      <c r="H3" s="163" t="s">
        <v>149</v>
      </c>
      <c r="I3" s="165" t="s">
        <v>373</v>
      </c>
      <c r="J3" s="164" t="s">
        <v>108</v>
      </c>
      <c r="K3" s="164" t="s">
        <v>108</v>
      </c>
      <c r="L3" s="164" t="s">
        <v>108</v>
      </c>
      <c r="M3" s="164" t="s">
        <v>108</v>
      </c>
      <c r="N3" s="170" t="s">
        <v>324</v>
      </c>
      <c r="O3" s="164" t="s">
        <v>108</v>
      </c>
      <c r="P3" s="164" t="s">
        <v>108</v>
      </c>
      <c r="Q3" s="165" t="s">
        <v>373</v>
      </c>
      <c r="R3" s="165" t="s">
        <v>373</v>
      </c>
      <c r="S3" s="164" t="s">
        <v>108</v>
      </c>
      <c r="T3" s="164" t="s">
        <v>108</v>
      </c>
      <c r="U3" s="164" t="s">
        <v>108</v>
      </c>
      <c r="V3" s="164" t="s">
        <v>108</v>
      </c>
      <c r="W3" s="164" t="s">
        <v>108</v>
      </c>
      <c r="X3" s="163" t="s">
        <v>149</v>
      </c>
      <c r="Y3" s="170" t="s">
        <v>324</v>
      </c>
      <c r="Z3" s="164" t="s">
        <v>108</v>
      </c>
      <c r="AA3" s="164" t="s">
        <v>108</v>
      </c>
      <c r="AB3" s="36"/>
    </row>
    <row r="4" spans="1:28" ht="15.75" customHeight="1">
      <c r="A4" s="28" t="s">
        <v>157</v>
      </c>
      <c r="B4" s="164" t="s">
        <v>108</v>
      </c>
      <c r="C4" s="170" t="s">
        <v>324</v>
      </c>
      <c r="D4" s="164" t="s">
        <v>108</v>
      </c>
      <c r="E4" s="190" t="s">
        <v>392</v>
      </c>
      <c r="F4" s="164" t="s">
        <v>108</v>
      </c>
      <c r="G4" s="164" t="s">
        <v>108</v>
      </c>
      <c r="H4" s="164" t="s">
        <v>108</v>
      </c>
      <c r="I4" s="165" t="s">
        <v>373</v>
      </c>
      <c r="J4" s="163" t="s">
        <v>149</v>
      </c>
      <c r="K4" s="164" t="s">
        <v>108</v>
      </c>
      <c r="L4" s="163" t="s">
        <v>149</v>
      </c>
      <c r="M4" s="164" t="s">
        <v>108</v>
      </c>
      <c r="N4" s="170" t="s">
        <v>324</v>
      </c>
      <c r="O4" s="164" t="s">
        <v>108</v>
      </c>
      <c r="P4" s="164" t="s">
        <v>108</v>
      </c>
      <c r="Q4" s="163" t="s">
        <v>149</v>
      </c>
      <c r="R4" s="164" t="s">
        <v>108</v>
      </c>
      <c r="S4" s="164" t="s">
        <v>108</v>
      </c>
      <c r="T4" s="164" t="s">
        <v>108</v>
      </c>
      <c r="U4" s="164" t="s">
        <v>108</v>
      </c>
      <c r="V4" s="165" t="s">
        <v>373</v>
      </c>
      <c r="W4" s="164" t="s">
        <v>108</v>
      </c>
      <c r="X4" s="165" t="s">
        <v>373</v>
      </c>
      <c r="Y4" s="165" t="s">
        <v>373</v>
      </c>
      <c r="Z4" s="164" t="s">
        <v>108</v>
      </c>
      <c r="AA4" s="164" t="s">
        <v>108</v>
      </c>
      <c r="AB4" s="36"/>
    </row>
    <row r="5" spans="1:28" ht="15.75" customHeight="1">
      <c r="A5" s="63" t="s">
        <v>159</v>
      </c>
      <c r="B5" s="170" t="s">
        <v>324</v>
      </c>
      <c r="C5" s="163" t="s">
        <v>149</v>
      </c>
      <c r="D5" s="164" t="s">
        <v>108</v>
      </c>
      <c r="E5" s="164" t="s">
        <v>108</v>
      </c>
      <c r="F5" s="164" t="s">
        <v>108</v>
      </c>
      <c r="G5" s="165" t="s">
        <v>373</v>
      </c>
      <c r="H5" s="164" t="s">
        <v>108</v>
      </c>
      <c r="I5" s="164" t="s">
        <v>108</v>
      </c>
      <c r="J5" s="165" t="s">
        <v>373</v>
      </c>
      <c r="K5" s="164" t="s">
        <v>108</v>
      </c>
      <c r="L5" s="164" t="s">
        <v>108</v>
      </c>
      <c r="M5" s="164" t="s">
        <v>108</v>
      </c>
      <c r="N5" s="164" t="s">
        <v>108</v>
      </c>
      <c r="O5" s="165" t="s">
        <v>373</v>
      </c>
      <c r="P5" s="164" t="s">
        <v>108</v>
      </c>
      <c r="Q5" s="164" t="s">
        <v>108</v>
      </c>
      <c r="R5" s="164" t="s">
        <v>108</v>
      </c>
      <c r="S5" s="164" t="s">
        <v>108</v>
      </c>
      <c r="T5" s="163" t="s">
        <v>149</v>
      </c>
      <c r="U5" s="165" t="s">
        <v>373</v>
      </c>
      <c r="V5" s="164" t="s">
        <v>108</v>
      </c>
      <c r="W5" s="163" t="s">
        <v>149</v>
      </c>
      <c r="X5" s="164" t="s">
        <v>108</v>
      </c>
      <c r="Y5" s="190" t="s">
        <v>392</v>
      </c>
      <c r="Z5" s="164" t="s">
        <v>108</v>
      </c>
      <c r="AA5" s="170" t="s">
        <v>324</v>
      </c>
      <c r="AB5" s="36"/>
    </row>
    <row r="6" spans="1:28" ht="15.75" customHeight="1">
      <c r="A6" s="28" t="s">
        <v>141</v>
      </c>
      <c r="B6" s="164" t="s">
        <v>108</v>
      </c>
      <c r="C6" s="164" t="s">
        <v>108</v>
      </c>
      <c r="D6" s="163" t="s">
        <v>149</v>
      </c>
      <c r="E6" s="164" t="s">
        <v>108</v>
      </c>
      <c r="F6" s="164" t="s">
        <v>108</v>
      </c>
      <c r="G6" s="163" t="s">
        <v>149</v>
      </c>
      <c r="H6" s="164" t="s">
        <v>108</v>
      </c>
      <c r="I6" s="164" t="s">
        <v>108</v>
      </c>
      <c r="J6" s="163" t="s">
        <v>149</v>
      </c>
      <c r="K6" s="164" t="s">
        <v>393</v>
      </c>
      <c r="L6" s="170" t="s">
        <v>324</v>
      </c>
      <c r="M6" s="170" t="s">
        <v>394</v>
      </c>
      <c r="N6" s="165" t="s">
        <v>373</v>
      </c>
      <c r="O6" s="165" t="s">
        <v>373</v>
      </c>
      <c r="P6" s="164" t="s">
        <v>108</v>
      </c>
      <c r="Q6" s="164" t="s">
        <v>108</v>
      </c>
      <c r="R6" s="164" t="s">
        <v>108</v>
      </c>
      <c r="S6" s="165" t="s">
        <v>395</v>
      </c>
      <c r="T6" s="164" t="s">
        <v>108</v>
      </c>
      <c r="U6" s="164" t="s">
        <v>108</v>
      </c>
      <c r="V6" s="190" t="s">
        <v>392</v>
      </c>
      <c r="W6" s="164" t="s">
        <v>108</v>
      </c>
      <c r="X6" s="164" t="s">
        <v>108</v>
      </c>
      <c r="Y6" s="164" t="s">
        <v>108</v>
      </c>
      <c r="Z6" s="164" t="s">
        <v>108</v>
      </c>
      <c r="AA6" s="164" t="s">
        <v>108</v>
      </c>
      <c r="AB6" s="36"/>
    </row>
    <row r="7" spans="1:28" ht="15.75" customHeight="1">
      <c r="A7" s="28" t="s">
        <v>161</v>
      </c>
      <c r="B7" s="164" t="s">
        <v>108</v>
      </c>
      <c r="C7" s="190" t="s">
        <v>392</v>
      </c>
      <c r="D7" s="164" t="s">
        <v>108</v>
      </c>
      <c r="E7" s="191" t="s">
        <v>357</v>
      </c>
      <c r="F7" s="164" t="s">
        <v>108</v>
      </c>
      <c r="G7" s="163" t="s">
        <v>149</v>
      </c>
      <c r="H7" s="170" t="s">
        <v>324</v>
      </c>
      <c r="I7" s="164" t="s">
        <v>108</v>
      </c>
      <c r="J7" s="164" t="s">
        <v>108</v>
      </c>
      <c r="K7" s="164" t="s">
        <v>108</v>
      </c>
      <c r="L7" s="170" t="s">
        <v>324</v>
      </c>
      <c r="M7" s="163" t="s">
        <v>149</v>
      </c>
      <c r="N7" s="164" t="s">
        <v>108</v>
      </c>
      <c r="O7" s="164" t="s">
        <v>108</v>
      </c>
      <c r="P7" s="164" t="s">
        <v>108</v>
      </c>
      <c r="Q7" s="165" t="s">
        <v>373</v>
      </c>
      <c r="R7" s="164" t="s">
        <v>108</v>
      </c>
      <c r="S7" s="164" t="s">
        <v>108</v>
      </c>
      <c r="T7" s="164" t="s">
        <v>108</v>
      </c>
      <c r="U7" s="164" t="s">
        <v>108</v>
      </c>
      <c r="V7" s="165" t="s">
        <v>396</v>
      </c>
      <c r="W7" s="164" t="s">
        <v>108</v>
      </c>
      <c r="X7" s="164" t="s">
        <v>108</v>
      </c>
      <c r="Y7" s="164" t="s">
        <v>108</v>
      </c>
      <c r="Z7" s="163" t="s">
        <v>149</v>
      </c>
      <c r="AA7" s="165" t="s">
        <v>373</v>
      </c>
      <c r="AB7" s="165" t="s">
        <v>373</v>
      </c>
    </row>
    <row r="8" spans="1:28" ht="15.75" customHeight="1">
      <c r="A8" s="28" t="s">
        <v>146</v>
      </c>
      <c r="B8" s="165" t="s">
        <v>373</v>
      </c>
      <c r="C8" s="163" t="s">
        <v>149</v>
      </c>
      <c r="D8" s="165" t="s">
        <v>373</v>
      </c>
      <c r="E8" s="164" t="s">
        <v>108</v>
      </c>
      <c r="F8" s="164" t="s">
        <v>108</v>
      </c>
      <c r="G8" s="164" t="s">
        <v>108</v>
      </c>
      <c r="H8" s="164" t="s">
        <v>108</v>
      </c>
      <c r="I8" s="164" t="s">
        <v>108</v>
      </c>
      <c r="J8" s="164" t="s">
        <v>108</v>
      </c>
      <c r="K8" s="165" t="s">
        <v>373</v>
      </c>
      <c r="L8" s="164" t="s">
        <v>108</v>
      </c>
      <c r="M8" s="164" t="s">
        <v>108</v>
      </c>
      <c r="N8" s="170" t="s">
        <v>324</v>
      </c>
      <c r="O8" s="164" t="s">
        <v>108</v>
      </c>
      <c r="P8" s="165" t="s">
        <v>373</v>
      </c>
      <c r="Q8" s="164" t="s">
        <v>108</v>
      </c>
      <c r="R8" s="163" t="s">
        <v>149</v>
      </c>
      <c r="S8" s="190" t="s">
        <v>392</v>
      </c>
      <c r="T8" s="164" t="s">
        <v>108</v>
      </c>
      <c r="U8" s="164" t="s">
        <v>108</v>
      </c>
      <c r="V8" s="164" t="s">
        <v>108</v>
      </c>
      <c r="W8" s="163" t="s">
        <v>149</v>
      </c>
      <c r="X8" s="170" t="s">
        <v>324</v>
      </c>
      <c r="Y8" s="164" t="s">
        <v>108</v>
      </c>
      <c r="Z8" s="164" t="s">
        <v>108</v>
      </c>
      <c r="AA8" s="164" t="s">
        <v>108</v>
      </c>
      <c r="AB8" s="36"/>
    </row>
    <row r="9" spans="1:28" ht="15.75" customHeight="1">
      <c r="A9" s="183" t="s">
        <v>176</v>
      </c>
      <c r="B9" s="192" t="s">
        <v>106</v>
      </c>
      <c r="C9" s="192" t="s">
        <v>106</v>
      </c>
      <c r="D9" s="170" t="s">
        <v>324</v>
      </c>
      <c r="E9" s="164" t="s">
        <v>108</v>
      </c>
      <c r="F9" s="164" t="s">
        <v>108</v>
      </c>
      <c r="G9" s="163" t="s">
        <v>149</v>
      </c>
      <c r="H9" s="178" t="s">
        <v>138</v>
      </c>
      <c r="I9" s="177" t="s">
        <v>375</v>
      </c>
      <c r="J9" s="164" t="s">
        <v>108</v>
      </c>
      <c r="K9" s="164" t="s">
        <v>108</v>
      </c>
      <c r="L9" s="164" t="s">
        <v>108</v>
      </c>
      <c r="M9" s="193" t="s">
        <v>377</v>
      </c>
      <c r="N9" s="164" t="s">
        <v>108</v>
      </c>
      <c r="O9" s="164" t="s">
        <v>108</v>
      </c>
      <c r="P9" s="164" t="s">
        <v>108</v>
      </c>
      <c r="Q9" s="164" t="s">
        <v>108</v>
      </c>
      <c r="R9" s="170" t="s">
        <v>324</v>
      </c>
      <c r="S9" s="164" t="s">
        <v>108</v>
      </c>
      <c r="T9" s="163" t="s">
        <v>149</v>
      </c>
      <c r="U9" s="165" t="s">
        <v>373</v>
      </c>
      <c r="V9" s="164" t="s">
        <v>108</v>
      </c>
      <c r="W9" s="164" t="s">
        <v>108</v>
      </c>
      <c r="X9" s="173" t="s">
        <v>376</v>
      </c>
      <c r="Y9" s="164" t="s">
        <v>108</v>
      </c>
      <c r="Z9" s="194" t="s">
        <v>374</v>
      </c>
      <c r="AA9" s="163" t="s">
        <v>149</v>
      </c>
      <c r="AB9" s="36"/>
    </row>
    <row r="10" spans="1:28" ht="16.5" customHeight="1">
      <c r="A10" s="28" t="s">
        <v>179</v>
      </c>
      <c r="B10" s="165" t="s">
        <v>373</v>
      </c>
      <c r="C10" s="164" t="s">
        <v>108</v>
      </c>
      <c r="D10" s="164" t="s">
        <v>108</v>
      </c>
      <c r="E10" s="164" t="s">
        <v>108</v>
      </c>
      <c r="F10" s="165" t="s">
        <v>373</v>
      </c>
      <c r="G10" s="164" t="s">
        <v>108</v>
      </c>
      <c r="H10" s="164" t="s">
        <v>108</v>
      </c>
      <c r="I10" s="164" t="s">
        <v>108</v>
      </c>
      <c r="J10" s="163" t="s">
        <v>149</v>
      </c>
      <c r="K10" s="190" t="s">
        <v>392</v>
      </c>
      <c r="L10" s="164" t="s">
        <v>108</v>
      </c>
      <c r="M10" s="164" t="s">
        <v>108</v>
      </c>
      <c r="N10" s="170" t="s">
        <v>324</v>
      </c>
      <c r="O10" s="164" t="s">
        <v>108</v>
      </c>
      <c r="P10" s="164" t="s">
        <v>108</v>
      </c>
      <c r="Q10" s="164" t="s">
        <v>108</v>
      </c>
      <c r="R10" s="165" t="s">
        <v>373</v>
      </c>
      <c r="S10" s="164" t="s">
        <v>108</v>
      </c>
      <c r="T10" s="164" t="s">
        <v>108</v>
      </c>
      <c r="U10" s="165" t="s">
        <v>373</v>
      </c>
      <c r="V10" s="163" t="s">
        <v>149</v>
      </c>
      <c r="W10" s="170" t="s">
        <v>324</v>
      </c>
      <c r="X10" s="164" t="s">
        <v>108</v>
      </c>
      <c r="Y10" s="163" t="s">
        <v>149</v>
      </c>
      <c r="Z10" s="164" t="s">
        <v>108</v>
      </c>
      <c r="AA10" s="164" t="s">
        <v>108</v>
      </c>
      <c r="AB10" s="36"/>
    </row>
    <row r="11" spans="1:28" ht="15.75" customHeight="1">
      <c r="A11" s="28" t="s">
        <v>163</v>
      </c>
      <c r="B11" s="164" t="s">
        <v>108</v>
      </c>
      <c r="C11" s="164" t="s">
        <v>108</v>
      </c>
      <c r="D11" s="164" t="s">
        <v>108</v>
      </c>
      <c r="E11" s="165" t="s">
        <v>373</v>
      </c>
      <c r="F11" s="163" t="s">
        <v>149</v>
      </c>
      <c r="G11" s="164" t="s">
        <v>108</v>
      </c>
      <c r="H11" s="164" t="s">
        <v>108</v>
      </c>
      <c r="I11" s="164" t="s">
        <v>108</v>
      </c>
      <c r="J11" s="165" t="s">
        <v>373</v>
      </c>
      <c r="K11" s="163" t="s">
        <v>149</v>
      </c>
      <c r="L11" s="164" t="s">
        <v>108</v>
      </c>
      <c r="M11" s="165" t="s">
        <v>373</v>
      </c>
      <c r="N11" s="170" t="s">
        <v>324</v>
      </c>
      <c r="O11" s="164" t="s">
        <v>108</v>
      </c>
      <c r="P11" s="164" t="s">
        <v>108</v>
      </c>
      <c r="Q11" s="164" t="s">
        <v>108</v>
      </c>
      <c r="R11" s="164" t="s">
        <v>108</v>
      </c>
      <c r="S11" s="164" t="s">
        <v>108</v>
      </c>
      <c r="T11" s="163" t="s">
        <v>149</v>
      </c>
      <c r="U11" s="164" t="s">
        <v>108</v>
      </c>
      <c r="V11" s="164" t="s">
        <v>108</v>
      </c>
      <c r="W11" s="170" t="s">
        <v>324</v>
      </c>
      <c r="X11" s="164" t="s">
        <v>108</v>
      </c>
      <c r="Y11" s="164" t="s">
        <v>108</v>
      </c>
      <c r="Z11" s="164" t="s">
        <v>108</v>
      </c>
      <c r="AA11" s="190" t="s">
        <v>392</v>
      </c>
      <c r="AB11" s="36"/>
    </row>
    <row r="12" spans="1:28" ht="15.75" customHeight="1">
      <c r="A12" s="28" t="s">
        <v>165</v>
      </c>
      <c r="B12" s="164" t="s">
        <v>108</v>
      </c>
      <c r="C12" s="164" t="s">
        <v>108</v>
      </c>
      <c r="D12" s="164" t="s">
        <v>108</v>
      </c>
      <c r="E12" s="164" t="s">
        <v>108</v>
      </c>
      <c r="F12" s="165" t="s">
        <v>373</v>
      </c>
      <c r="G12" s="164" t="s">
        <v>108</v>
      </c>
      <c r="H12" s="164" t="s">
        <v>108</v>
      </c>
      <c r="I12" s="165" t="s">
        <v>373</v>
      </c>
      <c r="J12" s="164" t="s">
        <v>108</v>
      </c>
      <c r="K12" s="163" t="s">
        <v>149</v>
      </c>
      <c r="L12" s="170" t="s">
        <v>324</v>
      </c>
      <c r="M12" s="164" t="s">
        <v>108</v>
      </c>
      <c r="N12" s="164" t="s">
        <v>108</v>
      </c>
      <c r="O12" s="164" t="s">
        <v>108</v>
      </c>
      <c r="P12" s="163" t="s">
        <v>149</v>
      </c>
      <c r="Q12" s="165" t="s">
        <v>373</v>
      </c>
      <c r="R12" s="164" t="s">
        <v>108</v>
      </c>
      <c r="S12" s="164" t="s">
        <v>108</v>
      </c>
      <c r="T12" s="164" t="s">
        <v>108</v>
      </c>
      <c r="U12" s="190" t="s">
        <v>392</v>
      </c>
      <c r="V12" s="163" t="s">
        <v>149</v>
      </c>
      <c r="W12" s="165" t="s">
        <v>373</v>
      </c>
      <c r="X12" s="164" t="s">
        <v>108</v>
      </c>
      <c r="Y12" s="170" t="s">
        <v>324</v>
      </c>
      <c r="Z12" s="164" t="s">
        <v>108</v>
      </c>
      <c r="AA12" s="164" t="s">
        <v>108</v>
      </c>
      <c r="AB12" s="36"/>
    </row>
    <row r="13" spans="1:28" ht="15.75" customHeight="1">
      <c r="A13" s="28" t="s">
        <v>181</v>
      </c>
      <c r="B13" s="164" t="s">
        <v>108</v>
      </c>
      <c r="C13" s="170" t="s">
        <v>324</v>
      </c>
      <c r="D13" s="165" t="s">
        <v>373</v>
      </c>
      <c r="E13" s="164" t="s">
        <v>108</v>
      </c>
      <c r="F13" s="164" t="s">
        <v>108</v>
      </c>
      <c r="G13" s="164" t="s">
        <v>108</v>
      </c>
      <c r="H13" s="165" t="s">
        <v>373</v>
      </c>
      <c r="I13" s="163" t="s">
        <v>149</v>
      </c>
      <c r="J13" s="164" t="s">
        <v>108</v>
      </c>
      <c r="K13" s="164" t="s">
        <v>108</v>
      </c>
      <c r="L13" s="164" t="s">
        <v>108</v>
      </c>
      <c r="M13" s="163" t="s">
        <v>149</v>
      </c>
      <c r="N13" s="164" t="s">
        <v>108</v>
      </c>
      <c r="O13" s="170" t="s">
        <v>324</v>
      </c>
      <c r="P13" s="163" t="s">
        <v>149</v>
      </c>
      <c r="Q13" s="164" t="s">
        <v>108</v>
      </c>
      <c r="R13" s="165" t="s">
        <v>373</v>
      </c>
      <c r="S13" s="164" t="s">
        <v>108</v>
      </c>
      <c r="T13" s="165" t="s">
        <v>373</v>
      </c>
      <c r="U13" s="164" t="s">
        <v>108</v>
      </c>
      <c r="V13" s="164" t="s">
        <v>108</v>
      </c>
      <c r="W13" s="164" t="s">
        <v>108</v>
      </c>
      <c r="X13" s="164" t="s">
        <v>108</v>
      </c>
      <c r="Y13" s="164" t="s">
        <v>108</v>
      </c>
      <c r="Z13" s="190" t="s">
        <v>392</v>
      </c>
      <c r="AA13" s="164" t="s">
        <v>108</v>
      </c>
      <c r="AB13" s="36"/>
    </row>
    <row r="14" spans="1:28" ht="15.75" customHeight="1">
      <c r="A14" s="28" t="s">
        <v>151</v>
      </c>
      <c r="B14" s="165" t="s">
        <v>373</v>
      </c>
      <c r="C14" s="164" t="s">
        <v>108</v>
      </c>
      <c r="D14" s="164" t="s">
        <v>108</v>
      </c>
      <c r="E14" s="163" t="s">
        <v>149</v>
      </c>
      <c r="F14" s="165" t="s">
        <v>373</v>
      </c>
      <c r="G14" s="164" t="s">
        <v>108</v>
      </c>
      <c r="H14" s="164" t="s">
        <v>108</v>
      </c>
      <c r="I14" s="190" t="s">
        <v>392</v>
      </c>
      <c r="J14" s="164" t="s">
        <v>108</v>
      </c>
      <c r="K14" s="164" t="s">
        <v>108</v>
      </c>
      <c r="L14" s="164" t="s">
        <v>108</v>
      </c>
      <c r="M14" s="164" t="s">
        <v>108</v>
      </c>
      <c r="N14" s="170" t="s">
        <v>324</v>
      </c>
      <c r="O14" s="164" t="s">
        <v>108</v>
      </c>
      <c r="P14" s="170" t="s">
        <v>324</v>
      </c>
      <c r="Q14" s="164" t="s">
        <v>108</v>
      </c>
      <c r="R14" s="164" t="s">
        <v>108</v>
      </c>
      <c r="S14" s="165" t="s">
        <v>373</v>
      </c>
      <c r="T14" s="164" t="s">
        <v>108</v>
      </c>
      <c r="U14" s="164" t="s">
        <v>108</v>
      </c>
      <c r="V14" s="163" t="s">
        <v>149</v>
      </c>
      <c r="W14" s="165" t="s">
        <v>373</v>
      </c>
      <c r="X14" s="164" t="s">
        <v>108</v>
      </c>
      <c r="Y14" s="164" t="s">
        <v>108</v>
      </c>
      <c r="Z14" s="165" t="s">
        <v>373</v>
      </c>
      <c r="AA14" s="164" t="s">
        <v>108</v>
      </c>
      <c r="AB14" s="36"/>
    </row>
    <row r="15" spans="1:28" ht="15.75" customHeight="1">
      <c r="A15" s="28" t="s">
        <v>167</v>
      </c>
      <c r="B15" s="164" t="s">
        <v>108</v>
      </c>
      <c r="C15" s="164" t="s">
        <v>108</v>
      </c>
      <c r="D15" s="164" t="s">
        <v>108</v>
      </c>
      <c r="E15" s="163" t="s">
        <v>149</v>
      </c>
      <c r="F15" s="190" t="s">
        <v>392</v>
      </c>
      <c r="G15" s="164" t="s">
        <v>108</v>
      </c>
      <c r="H15" s="164" t="s">
        <v>108</v>
      </c>
      <c r="I15" s="164" t="s">
        <v>108</v>
      </c>
      <c r="J15" s="164" t="s">
        <v>108</v>
      </c>
      <c r="K15" s="165" t="s">
        <v>373</v>
      </c>
      <c r="L15" s="170" t="s">
        <v>324</v>
      </c>
      <c r="M15" s="164" t="s">
        <v>108</v>
      </c>
      <c r="N15" s="164" t="s">
        <v>108</v>
      </c>
      <c r="O15" s="164" t="s">
        <v>108</v>
      </c>
      <c r="P15" s="165" t="s">
        <v>373</v>
      </c>
      <c r="Q15" s="165" t="s">
        <v>373</v>
      </c>
      <c r="R15" s="164" t="s">
        <v>108</v>
      </c>
      <c r="S15" s="163" t="s">
        <v>149</v>
      </c>
      <c r="T15" s="170" t="s">
        <v>324</v>
      </c>
      <c r="U15" s="164" t="s">
        <v>108</v>
      </c>
      <c r="V15" s="164" t="s">
        <v>108</v>
      </c>
      <c r="W15" s="164" t="s">
        <v>108</v>
      </c>
      <c r="X15" s="164" t="s">
        <v>108</v>
      </c>
      <c r="Y15" s="163" t="s">
        <v>149</v>
      </c>
      <c r="Z15" s="164" t="s">
        <v>108</v>
      </c>
      <c r="AA15" s="165" t="s">
        <v>373</v>
      </c>
      <c r="AB15" s="36"/>
    </row>
    <row r="16" spans="1:28" ht="15.75" customHeight="1">
      <c r="A16" s="28" t="s">
        <v>155</v>
      </c>
      <c r="B16" s="164" t="s">
        <v>108</v>
      </c>
      <c r="C16" s="164" t="s">
        <v>108</v>
      </c>
      <c r="D16" s="190" t="s">
        <v>392</v>
      </c>
      <c r="E16" s="170" t="s">
        <v>324</v>
      </c>
      <c r="F16" s="164" t="s">
        <v>108</v>
      </c>
      <c r="G16" s="164" t="s">
        <v>108</v>
      </c>
      <c r="H16" s="163" t="s">
        <v>149</v>
      </c>
      <c r="I16" s="164" t="s">
        <v>108</v>
      </c>
      <c r="J16" s="164" t="s">
        <v>108</v>
      </c>
      <c r="K16" s="164" t="s">
        <v>108</v>
      </c>
      <c r="L16" s="164" t="s">
        <v>108</v>
      </c>
      <c r="M16" s="165" t="s">
        <v>373</v>
      </c>
      <c r="N16" s="164" t="s">
        <v>108</v>
      </c>
      <c r="O16" s="163" t="s">
        <v>149</v>
      </c>
      <c r="P16" s="164" t="s">
        <v>108</v>
      </c>
      <c r="Q16" s="164" t="s">
        <v>108</v>
      </c>
      <c r="R16" s="163" t="s">
        <v>149</v>
      </c>
      <c r="S16" s="165" t="s">
        <v>373</v>
      </c>
      <c r="T16" s="164" t="s">
        <v>108</v>
      </c>
      <c r="U16" s="164" t="s">
        <v>108</v>
      </c>
      <c r="V16" s="165" t="s">
        <v>373</v>
      </c>
      <c r="W16" s="164" t="s">
        <v>108</v>
      </c>
      <c r="X16" s="164" t="s">
        <v>108</v>
      </c>
      <c r="Y16" s="164" t="s">
        <v>108</v>
      </c>
      <c r="Z16" s="165" t="s">
        <v>373</v>
      </c>
      <c r="AA16" s="170" t="s">
        <v>324</v>
      </c>
      <c r="AB16" s="36"/>
    </row>
    <row r="17" spans="1:28" ht="15.75" customHeight="1">
      <c r="A17" s="28" t="s">
        <v>183</v>
      </c>
      <c r="B17" s="165" t="s">
        <v>373</v>
      </c>
      <c r="C17" s="164" t="s">
        <v>108</v>
      </c>
      <c r="D17" s="164" t="s">
        <v>108</v>
      </c>
      <c r="E17" s="164" t="s">
        <v>108</v>
      </c>
      <c r="F17" s="164" t="s">
        <v>108</v>
      </c>
      <c r="G17" s="164" t="s">
        <v>108</v>
      </c>
      <c r="H17" s="170" t="s">
        <v>324</v>
      </c>
      <c r="I17" s="163" t="s">
        <v>149</v>
      </c>
      <c r="J17" s="164" t="s">
        <v>108</v>
      </c>
      <c r="K17" s="164" t="s">
        <v>108</v>
      </c>
      <c r="L17" s="165" t="s">
        <v>373</v>
      </c>
      <c r="M17" s="164" t="s">
        <v>108</v>
      </c>
      <c r="N17" s="164" t="s">
        <v>108</v>
      </c>
      <c r="O17" s="164" t="s">
        <v>108</v>
      </c>
      <c r="P17" s="190" t="s">
        <v>392</v>
      </c>
      <c r="Q17" s="164" t="s">
        <v>108</v>
      </c>
      <c r="R17" s="165" t="s">
        <v>373</v>
      </c>
      <c r="S17" s="163" t="s">
        <v>149</v>
      </c>
      <c r="T17" s="164" t="s">
        <v>108</v>
      </c>
      <c r="U17" s="170" t="s">
        <v>324</v>
      </c>
      <c r="V17" s="164" t="s">
        <v>108</v>
      </c>
      <c r="W17" s="163" t="s">
        <v>149</v>
      </c>
      <c r="X17" s="164" t="s">
        <v>108</v>
      </c>
      <c r="Y17" s="164" t="s">
        <v>108</v>
      </c>
      <c r="Z17" s="165" t="s">
        <v>373</v>
      </c>
      <c r="AA17" s="164" t="s">
        <v>108</v>
      </c>
      <c r="AB17" s="36"/>
    </row>
    <row r="18" spans="1:28" ht="15.75" customHeight="1">
      <c r="A18" s="63" t="s">
        <v>169</v>
      </c>
      <c r="B18" s="164" t="s">
        <v>108</v>
      </c>
      <c r="C18" s="164" t="s">
        <v>108</v>
      </c>
      <c r="D18" s="164" t="s">
        <v>108</v>
      </c>
      <c r="E18" s="165" t="s">
        <v>373</v>
      </c>
      <c r="F18" s="163" t="s">
        <v>149</v>
      </c>
      <c r="G18" s="164" t="s">
        <v>108</v>
      </c>
      <c r="H18" s="164" t="s">
        <v>108</v>
      </c>
      <c r="I18" s="164" t="s">
        <v>108</v>
      </c>
      <c r="J18" s="165" t="s">
        <v>373</v>
      </c>
      <c r="K18" s="164" t="s">
        <v>108</v>
      </c>
      <c r="L18" s="164" t="s">
        <v>108</v>
      </c>
      <c r="M18" s="164" t="s">
        <v>108</v>
      </c>
      <c r="N18" s="164" t="s">
        <v>108</v>
      </c>
      <c r="O18" s="190" t="s">
        <v>392</v>
      </c>
      <c r="P18" s="164" t="s">
        <v>108</v>
      </c>
      <c r="Q18" s="165" t="s">
        <v>373</v>
      </c>
      <c r="R18" s="164" t="s">
        <v>108</v>
      </c>
      <c r="S18" s="164" t="s">
        <v>108</v>
      </c>
      <c r="T18" s="163" t="s">
        <v>149</v>
      </c>
      <c r="U18" s="170" t="s">
        <v>324</v>
      </c>
      <c r="V18" s="164" t="s">
        <v>108</v>
      </c>
      <c r="W18" s="164" t="s">
        <v>108</v>
      </c>
      <c r="X18" s="163" t="s">
        <v>149</v>
      </c>
      <c r="Y18" s="165" t="s">
        <v>373</v>
      </c>
      <c r="Z18" s="164" t="s">
        <v>108</v>
      </c>
      <c r="AA18" s="170" t="s">
        <v>324</v>
      </c>
      <c r="AB18" s="36"/>
    </row>
    <row r="19" spans="1:28" ht="15.75" customHeight="1">
      <c r="A19" s="28" t="s">
        <v>153</v>
      </c>
      <c r="B19" s="164" t="s">
        <v>108</v>
      </c>
      <c r="C19" s="165" t="s">
        <v>373</v>
      </c>
      <c r="D19" s="164" t="s">
        <v>108</v>
      </c>
      <c r="E19" s="164" t="s">
        <v>108</v>
      </c>
      <c r="F19" s="165" t="s">
        <v>373</v>
      </c>
      <c r="G19" s="170" t="s">
        <v>324</v>
      </c>
      <c r="H19" s="164" t="s">
        <v>108</v>
      </c>
      <c r="I19" s="163" t="s">
        <v>149</v>
      </c>
      <c r="J19" s="164" t="s">
        <v>108</v>
      </c>
      <c r="K19" s="164" t="s">
        <v>108</v>
      </c>
      <c r="L19" s="165" t="s">
        <v>373</v>
      </c>
      <c r="M19" s="164" t="s">
        <v>108</v>
      </c>
      <c r="N19" s="164" t="s">
        <v>108</v>
      </c>
      <c r="O19" s="163" t="s">
        <v>149</v>
      </c>
      <c r="P19" s="165" t="s">
        <v>373</v>
      </c>
      <c r="Q19" s="164" t="s">
        <v>108</v>
      </c>
      <c r="R19" s="164" t="s">
        <v>108</v>
      </c>
      <c r="S19" s="170" t="s">
        <v>324</v>
      </c>
      <c r="T19" s="164" t="s">
        <v>108</v>
      </c>
      <c r="U19" s="164" t="s">
        <v>108</v>
      </c>
      <c r="V19" s="164" t="s">
        <v>108</v>
      </c>
      <c r="W19" s="164" t="s">
        <v>108</v>
      </c>
      <c r="X19" s="190" t="s">
        <v>392</v>
      </c>
      <c r="Y19" s="164" t="s">
        <v>108</v>
      </c>
      <c r="Z19" s="163" t="s">
        <v>149</v>
      </c>
      <c r="AA19" s="164" t="s">
        <v>108</v>
      </c>
      <c r="AB19" s="36"/>
    </row>
    <row r="20" spans="1:28" ht="15.75" customHeight="1">
      <c r="A20" s="28" t="s">
        <v>172</v>
      </c>
      <c r="B20" s="164" t="s">
        <v>108</v>
      </c>
      <c r="C20" s="164" t="s">
        <v>108</v>
      </c>
      <c r="D20" s="165" t="s">
        <v>373</v>
      </c>
      <c r="E20" s="164" t="s">
        <v>108</v>
      </c>
      <c r="F20" s="164" t="s">
        <v>108</v>
      </c>
      <c r="G20" s="190" t="s">
        <v>392</v>
      </c>
      <c r="H20" s="164" t="s">
        <v>108</v>
      </c>
      <c r="I20" s="164" t="s">
        <v>108</v>
      </c>
      <c r="J20" s="165" t="s">
        <v>373</v>
      </c>
      <c r="K20" s="163" t="s">
        <v>149</v>
      </c>
      <c r="L20" s="164" t="s">
        <v>108</v>
      </c>
      <c r="M20" s="165" t="s">
        <v>373</v>
      </c>
      <c r="N20" s="164" t="s">
        <v>108</v>
      </c>
      <c r="O20" s="170" t="s">
        <v>324</v>
      </c>
      <c r="P20" s="164" t="s">
        <v>108</v>
      </c>
      <c r="Q20" s="163" t="s">
        <v>149</v>
      </c>
      <c r="R20" s="164" t="s">
        <v>108</v>
      </c>
      <c r="S20" s="164" t="s">
        <v>108</v>
      </c>
      <c r="T20" s="165" t="s">
        <v>373</v>
      </c>
      <c r="U20" s="163" t="s">
        <v>149</v>
      </c>
      <c r="V20" s="164" t="s">
        <v>108</v>
      </c>
      <c r="W20" s="164" t="s">
        <v>108</v>
      </c>
      <c r="X20" s="170" t="s">
        <v>324</v>
      </c>
      <c r="Y20" s="164" t="s">
        <v>108</v>
      </c>
      <c r="Z20" s="164" t="s">
        <v>108</v>
      </c>
      <c r="AA20" s="164" t="s">
        <v>108</v>
      </c>
      <c r="AB20" s="36"/>
    </row>
    <row r="21" spans="1:28" ht="13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spans="1:28" ht="13">
      <c r="B22" s="165" t="s">
        <v>373</v>
      </c>
      <c r="C22" s="250" t="s">
        <v>397</v>
      </c>
      <c r="D22" s="217"/>
      <c r="E22" s="218"/>
      <c r="F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28" ht="13">
      <c r="B23" s="170" t="s">
        <v>324</v>
      </c>
      <c r="C23" s="247" t="s">
        <v>390</v>
      </c>
      <c r="D23" s="217"/>
      <c r="E23" s="218"/>
      <c r="F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ht="13">
      <c r="B24" s="164" t="s">
        <v>108</v>
      </c>
      <c r="C24" s="245" t="s">
        <v>356</v>
      </c>
      <c r="D24" s="217"/>
      <c r="E24" s="218"/>
      <c r="F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28" ht="13">
      <c r="B25" s="163" t="s">
        <v>149</v>
      </c>
      <c r="C25" s="248" t="s">
        <v>398</v>
      </c>
      <c r="D25" s="217"/>
      <c r="E25" s="218"/>
      <c r="F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28" ht="13">
      <c r="B26" s="190" t="s">
        <v>392</v>
      </c>
      <c r="C26" s="255" t="s">
        <v>399</v>
      </c>
      <c r="D26" s="217"/>
      <c r="E26" s="218"/>
      <c r="F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ht="13"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1:28" ht="13"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28" ht="13"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 ht="13"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28" ht="13"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28" ht="13"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2:28" ht="1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2:28" ht="1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2:28" ht="13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spans="2:28" ht="13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spans="2:28" ht="1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spans="2:28" ht="13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2:28" ht="13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spans="2:28" ht="13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2:28" ht="13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2:28" ht="13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2:28" ht="1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spans="2:28" ht="13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2:28" ht="13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2:28" ht="13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2:28" ht="13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2:28" ht="13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2:28" ht="13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2:28" ht="13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2:28" ht="13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2:28" ht="13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spans="2:28" ht="1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2:28" ht="13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2:28" ht="13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spans="2:28" ht="13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2:28" ht="13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2:28" ht="13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2:28" ht="13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2:28" ht="13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2:28" ht="13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spans="2:28" ht="13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2:28" ht="13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2:28" ht="13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2:28" ht="13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2:28" ht="13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spans="2:28" ht="13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2:28" ht="13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spans="2:28" ht="13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2:28" ht="13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spans="2:28" ht="13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2:28" ht="13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spans="2:28" ht="13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spans="2:28" ht="13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2:28" ht="13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spans="2:28" ht="13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spans="2:28" ht="13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2:28" ht="13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spans="2:28" ht="13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spans="2:28" ht="13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spans="2:28" ht="13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spans="2:28" ht="13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spans="2:28" ht="13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spans="2:28" ht="13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spans="2:28" ht="13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2:28" ht="13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2:28" ht="13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spans="2:28" ht="13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spans="2:28" ht="13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2:28" ht="13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2:28" ht="13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2:28" ht="13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2:28" ht="13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spans="2:28" ht="13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2:28" ht="13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2:28" ht="13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spans="2:28" ht="13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spans="2:28" ht="13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2:28" ht="13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spans="2:28" ht="13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spans="2:28" ht="13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spans="2:28" ht="13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2:28" ht="13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2:28" ht="13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2:28" ht="13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2:28" ht="13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2:28" ht="13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2:28" ht="13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2:28" ht="13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spans="2:28" ht="13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spans="2:28" ht="13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spans="2:28" ht="13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spans="2:28" ht="13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spans="2:28" ht="13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spans="2:28" ht="13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2:28" ht="13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spans="2:28" ht="13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spans="2:28" ht="13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spans="2:28" ht="13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spans="2:28" ht="13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spans="2:28" ht="13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spans="2:28" ht="13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spans="2:28" ht="13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spans="2:28" ht="13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spans="2:28" ht="13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spans="2:28" ht="13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spans="2:28" ht="13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spans="2:28" ht="13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spans="2:28" ht="13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2:28" ht="13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spans="2:28" ht="13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2:28" ht="13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spans="2:28" ht="13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spans="2:28" ht="13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spans="2:28" ht="13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spans="2:28" ht="13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spans="2:28" ht="13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spans="2:28" ht="13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spans="2:28" ht="13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spans="2:28" ht="13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spans="2:28" ht="13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spans="2:28" ht="13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2:28" ht="13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spans="2:28" ht="13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spans="2:28" ht="13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spans="2:28" ht="13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spans="2:28" ht="13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spans="2:28" ht="13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spans="2:28" ht="13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spans="2:28" ht="13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spans="2:28" ht="13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spans="2:28" ht="13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spans="2:28" ht="13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spans="2:28" ht="13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spans="2:28" ht="13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spans="2:28" ht="13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spans="2:28" ht="13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spans="2:28" ht="13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spans="2:28" ht="13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spans="2:28" ht="13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spans="2:28" ht="13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spans="2:28" ht="13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spans="2:28" ht="1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spans="2:28" ht="13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spans="2:28" ht="13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spans="2:28" ht="13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spans="2:28" ht="13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spans="2:28" ht="13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spans="2:28" ht="13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spans="2:28" ht="13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spans="2:28" ht="13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spans="2:28" ht="13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spans="2:28" ht="1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spans="2:28" ht="13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spans="2:28" ht="13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spans="2:28" ht="13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spans="2:28" ht="13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spans="2:28" ht="13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spans="2:28" ht="13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spans="2:28" ht="13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spans="2:28" ht="13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spans="2:28" ht="13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spans="2:28" ht="1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spans="2:28" ht="13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spans="2:28" ht="13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spans="2:28" ht="13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spans="2:28" ht="13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spans="2:28" ht="13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spans="2:28" ht="13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spans="2:28" ht="13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spans="2:28" ht="13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spans="2:28" ht="13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spans="2:28" ht="1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spans="2:28" ht="13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spans="2:28" ht="13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spans="2:28" ht="13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spans="2:28" ht="13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spans="2:28" ht="13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spans="2:28" ht="13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spans="2:28" ht="13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spans="2:28" ht="13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spans="2:28" ht="13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spans="2:28" ht="1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spans="2:28" ht="13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spans="2:28" ht="13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spans="2:28" ht="13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spans="2:28" ht="13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spans="2:28" ht="13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2:28" ht="13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spans="2:28" ht="13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spans="2:28" ht="13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spans="2:28" ht="13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spans="2:28" ht="13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spans="2:28" ht="13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spans="2:28" ht="13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2:28" ht="13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spans="2:28" ht="13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spans="2:28" ht="13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spans="2:28" ht="13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spans="2:28" ht="13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spans="2:28" ht="13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spans="2:28" ht="13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 spans="2:28" ht="13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spans="2:28" ht="13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 spans="2:28" ht="13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 spans="2:28" ht="13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spans="2:28" ht="13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 spans="2:28" ht="13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 spans="2:28" ht="13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spans="2:28" ht="13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 spans="2:28" ht="13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 spans="2:28" ht="13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spans="2:28" ht="13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 spans="2:28" ht="13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 spans="2:28" ht="13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spans="2:28" ht="13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 spans="2:28" ht="13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 spans="2:28" ht="13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spans="2:28" ht="13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 spans="2:28" ht="13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 spans="2:28" ht="13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spans="2:28" ht="13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spans="2:28" ht="13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spans="2:28" ht="13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spans="2:28" ht="13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 spans="2:28" ht="13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 spans="2:28" ht="13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spans="2:28" ht="13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 spans="2:28" ht="13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 spans="2:28" ht="13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spans="2:28" ht="13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 spans="2:28" ht="13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 spans="2:28" ht="13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spans="2:28" ht="13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 spans="2:28" ht="13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 spans="2:28" ht="13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spans="2:28" ht="13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 spans="2:28" ht="13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 spans="2:28" ht="13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spans="2:28" ht="13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 spans="2:28" ht="13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spans="2:28" ht="13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spans="2:28" ht="13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spans="2:28" ht="13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 spans="2:28" ht="13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spans="2:28" ht="13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spans="2:28" ht="13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 spans="2:28" ht="13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spans="2:28" ht="13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 spans="2:28" ht="13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 spans="2:28" ht="13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spans="2:28" ht="13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spans="2:28" ht="13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 spans="2:28" ht="13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spans="2:28" ht="13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 spans="2:28" ht="13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 spans="2:28" ht="13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 spans="2:28" ht="13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 spans="2:28" ht="13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spans="2:28" ht="13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spans="2:28" ht="13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2:28" ht="13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 spans="2:28" ht="13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spans="2:28" ht="13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 spans="2:28" ht="13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 spans="2:28" ht="13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spans="2:28" ht="13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 spans="2:28" ht="13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 spans="2:28" ht="13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 spans="2:28" ht="13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 spans="2:28" ht="13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 spans="2:28" ht="13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 spans="2:28" ht="13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 spans="2:28" ht="13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 spans="2:28" ht="13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spans="2:28" ht="13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 spans="2:28" ht="13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 spans="2:28" ht="13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 spans="2:28" ht="13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 spans="2:28" ht="13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 spans="2:28" ht="13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 spans="2:28" ht="13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 spans="2:28" ht="13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spans="2:28" ht="13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 spans="2:28" ht="13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 spans="2:28" ht="13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 spans="2:28" ht="13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 spans="2:28" ht="13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 spans="2:28" ht="13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 spans="2:28" ht="13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 spans="2:28" ht="13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 spans="2:28" ht="13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 spans="2:28" ht="13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 spans="2:28" ht="13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 spans="2:28" ht="13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 spans="2:28" ht="13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 spans="2:28" ht="13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 spans="2:28" ht="13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 spans="2:28" ht="13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 spans="2:28" ht="13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 spans="2:28" ht="13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 spans="2:28" ht="13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r="323" spans="2:28" ht="13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r="324" spans="2:28" ht="13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r="325" spans="2:28" ht="13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r="326" spans="2:28" ht="13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r="327" spans="2:28" ht="13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r="328" spans="2:28" ht="13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r="329" spans="2:28" ht="13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r="330" spans="2:28" ht="13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r="331" spans="2:28" ht="13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r="332" spans="2:28" ht="13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r="333" spans="2:28" ht="13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r="334" spans="2:28" ht="13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 spans="2:28" ht="13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r="336" spans="2:28" ht="13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r="337" spans="2:28" ht="13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r="338" spans="2:28" ht="13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 spans="2:28" ht="13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r="340" spans="2:28" ht="13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r="341" spans="2:28" ht="13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r="342" spans="2:28" ht="13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r="343" spans="2:28" ht="13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r="344" spans="2:28" ht="13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r="345" spans="2:28" ht="13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2:28" ht="13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r="347" spans="2:28" ht="13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r="348" spans="2:28" ht="13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r="349" spans="2:28" ht="13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r="350" spans="2:28" ht="13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r="351" spans="2:28" ht="13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r="352" spans="2:28" ht="13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r="353" spans="2:28" ht="13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r="354" spans="2:28" ht="13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r="355" spans="2:28" ht="13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r="356" spans="2:28" ht="13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 spans="2:28" ht="13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 spans="2:28" ht="13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 spans="2:28" ht="13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 spans="2:28" ht="13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 spans="2:28" ht="13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 spans="2:28" ht="13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 spans="2:28" ht="13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 spans="2:28" ht="13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 spans="2:28" ht="13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 spans="2:28" ht="13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 spans="2:28" ht="13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 spans="2:28" ht="13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 spans="2:28" ht="13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 spans="2:28" ht="13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 spans="2:28" ht="13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 spans="2:28" ht="13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 spans="2:28" ht="13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 spans="2:28" ht="13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 spans="2:28" ht="13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 spans="2:28" ht="13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 spans="2:28" ht="13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 spans="2:28" ht="13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 spans="2:28" ht="13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 spans="2:28" ht="13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 spans="2:28" ht="13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 spans="2:28" ht="13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 spans="2:28" ht="13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 spans="2:28" ht="13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 spans="2:28" ht="13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 spans="2:28" ht="13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 spans="2:28" ht="13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 spans="2:28" ht="13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 spans="2:28" ht="13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 spans="2:28" ht="13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 spans="2:28" ht="13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 spans="2:28" ht="13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 spans="2:28" ht="13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 spans="2:28" ht="13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 spans="2:28" ht="13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 spans="2:28" ht="13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 spans="2:28" ht="13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 spans="2:28" ht="13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 spans="2:28" ht="13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 spans="2:28" ht="13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 spans="2:28" ht="13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 spans="2:28" ht="13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 spans="2:28" ht="13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 spans="2:28" ht="13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 spans="2:28" ht="13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 spans="2:28" ht="13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 spans="2:28" ht="13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 spans="2:28" ht="13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 spans="2:28" ht="13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 spans="2:28" ht="13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 spans="2:28" ht="13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 spans="2:28" ht="13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 spans="2:28" ht="13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 spans="2:28" ht="13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 spans="2:28" ht="13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 spans="2:28" ht="13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2:28" ht="13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 spans="2:28" ht="13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 spans="2:28" ht="13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 spans="2:28" ht="13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 spans="2:28" ht="13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 spans="2:28" ht="13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 spans="2:28" ht="13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 spans="2:28" ht="13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 spans="2:28" ht="13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 spans="2:28" ht="13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 spans="2:28" ht="13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 spans="2:28" ht="13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 spans="2:28" ht="13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 spans="2:28" ht="13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 spans="2:28" ht="13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 spans="2:28" ht="13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 spans="2:28" ht="13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 spans="2:28" ht="13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 spans="2:28" ht="13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 spans="2:28" ht="13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 spans="2:28" ht="13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 spans="2:28" ht="13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 spans="2:28" ht="13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 spans="2:28" ht="13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 spans="2:28" ht="13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 spans="2:28" ht="13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 spans="2:28" ht="13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 spans="2:28" ht="13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 spans="2:28" ht="13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 spans="2:28" ht="13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 spans="2:28" ht="13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 spans="2:28" ht="13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 spans="2:28" ht="13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 spans="2:28" ht="13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 spans="2:28" ht="13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 spans="2:28" ht="13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 spans="2:28" ht="13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 spans="2:28" ht="13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 spans="2:28" ht="13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 spans="2:28" ht="13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 spans="2:28" ht="13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 spans="2:28" ht="13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 spans="2:28" ht="13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 spans="2:28" ht="13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 spans="2:28" ht="13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 spans="2:28" ht="13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 spans="2:28" ht="13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 spans="2:28" ht="13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 spans="2:28" ht="13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 spans="2:28" ht="13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 spans="2:28" ht="13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 spans="2:28" ht="13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 spans="2:28" ht="13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 spans="2:28" ht="13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 spans="2:28" ht="13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 spans="2:28" ht="13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 spans="2:28" ht="13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 spans="2:28" ht="13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 spans="2:28" ht="13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 spans="2:28" ht="13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 spans="2:28" ht="13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 spans="2:28" ht="13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 spans="2:28" ht="13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 spans="2:28" ht="13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 spans="2:28" ht="13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 spans="2:28" ht="13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 spans="2:28" ht="13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 spans="2:28" ht="13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 spans="2:28" ht="13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 spans="2:28" ht="13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 spans="2:28" ht="13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 spans="2:28" ht="13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 spans="2:28" ht="13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 spans="2:28" ht="13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 spans="2:28" ht="13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 spans="2:28" ht="13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 spans="2:28" ht="13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 spans="2:28" ht="13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 spans="2:28" ht="13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 spans="2:28" ht="13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 spans="2:28" ht="13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 spans="2:28" ht="13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 spans="2:28" ht="13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 spans="2:28" ht="13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 spans="2:28" ht="13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 spans="2:28" ht="13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 spans="2:28" ht="13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 spans="2:28" ht="13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 spans="2:28" ht="13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 spans="2:28" ht="13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 spans="2:28" ht="13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 spans="2:28" ht="13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 spans="2:28" ht="13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 spans="2:28" ht="13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 spans="2:28" ht="13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 spans="2:28" ht="13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 spans="2:28" ht="13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 spans="2:28" ht="13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 spans="2:28" ht="13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 spans="2:28" ht="13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 spans="2:28" ht="13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 spans="2:28" ht="13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 spans="2:28" ht="13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 spans="2:28" ht="13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 spans="2:28" ht="13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 spans="2:28" ht="13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 spans="2:28" ht="13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 spans="2:28" ht="13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 spans="2:28" ht="13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 spans="2:28" ht="13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 spans="2:28" ht="13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 spans="2:28" ht="13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 spans="2:28" ht="13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 spans="2:28" ht="13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 spans="2:28" ht="13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 spans="2:28" ht="13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 spans="2:28" ht="13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 spans="2:28" ht="13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 spans="2:28" ht="13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 spans="2:28" ht="13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 spans="2:28" ht="13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 spans="2:28" ht="13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 spans="2:28" ht="13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 spans="2:28" ht="13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 spans="2:28" ht="13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 spans="2:28" ht="13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 spans="2:28" ht="13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 spans="2:28" ht="13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 spans="2:28" ht="13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 spans="2:28" ht="13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 spans="2:28" ht="13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 spans="2:28" ht="13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 spans="2:28" ht="13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 spans="2:28" ht="13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 spans="2:28" ht="13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 spans="2:28" ht="13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 spans="2:28" ht="13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 spans="2:28" ht="13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 spans="2:28" ht="13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 spans="2:28" ht="13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 spans="2:28" ht="13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 spans="2:28" ht="13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 spans="2:28" ht="13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 spans="2:28" ht="13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 spans="2:28" ht="13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 spans="2:28" ht="13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 spans="2:28" ht="13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 spans="2:28" ht="13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 spans="2:28" ht="13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 spans="2:28" ht="13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 spans="2:28" ht="13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 spans="2:28" ht="13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 spans="2:28" ht="13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 spans="2:28" ht="13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 spans="2:28" ht="13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 spans="2:28" ht="13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 spans="2:28" ht="13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 spans="2:28" ht="13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 spans="2:28" ht="13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 spans="2:28" ht="13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 spans="2:28" ht="13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 spans="2:28" ht="13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 spans="2:28" ht="13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 spans="2:28" ht="13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 spans="2:28" ht="13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 spans="2:28" ht="13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 spans="2:28" ht="13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 spans="2:28" ht="13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 spans="2:28" ht="13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 spans="2:28" ht="13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 spans="2:28" ht="13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 spans="2:28" ht="13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 spans="2:28" ht="13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 spans="2:28" ht="13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 spans="2:28" ht="13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 spans="2:28" ht="13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 spans="2:28" ht="13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 spans="2:28" ht="13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 spans="2:28" ht="13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 spans="2:28" ht="13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 spans="2:28" ht="13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 spans="2:28" ht="13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 spans="2:28" ht="13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 spans="2:28" ht="13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 spans="2:28" ht="13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 spans="2:28" ht="13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 spans="2:28" ht="13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 spans="2:28" ht="13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 spans="2:28" ht="13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 spans="2:28" ht="13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 spans="2:28" ht="13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 spans="2:28" ht="13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 spans="2:28" ht="13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 spans="2:28" ht="13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 spans="2:28" ht="13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 spans="2:28" ht="13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 spans="2:28" ht="13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 spans="2:28" ht="13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 spans="2:28" ht="13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 spans="2:28" ht="13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 spans="2:28" ht="13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 spans="2:28" ht="13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 spans="2:28" ht="13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 spans="2:28" ht="13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 spans="2:28" ht="13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 spans="2:28" ht="13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 spans="2:28" ht="13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 spans="2:28" ht="13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 spans="2:28" ht="13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 spans="2:28" ht="13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 spans="2:28" ht="13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 spans="2:28" ht="13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 spans="2:28" ht="13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 spans="2:28" ht="13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 spans="2:28" ht="13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 spans="2:28" ht="13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 spans="2:28" ht="13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 spans="2:28" ht="13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 spans="2:28" ht="13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 spans="2:28" ht="13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 spans="2:28" ht="13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 spans="2:28" ht="13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 spans="2:28" ht="13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 spans="2:28" ht="13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 spans="2:28" ht="13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 spans="2:28" ht="13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 spans="2:28" ht="13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 spans="2:28" ht="13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 spans="2:28" ht="13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 spans="2:28" ht="13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 spans="2:28" ht="13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 spans="2:28" ht="13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 spans="2:28" ht="13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 spans="2:28" ht="13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 spans="2:28" ht="13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 spans="2:28" ht="13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 spans="2:28" ht="13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 spans="2:28" ht="13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 spans="2:28" ht="13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 spans="2:28" ht="13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 spans="2:28" ht="13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 spans="2:28" ht="13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 spans="2:28" ht="13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 spans="2:28" ht="13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 spans="2:28" ht="13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 spans="2:28" ht="13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 spans="2:28" ht="13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 spans="2:28" ht="13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 spans="2:28" ht="13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 spans="2:28" ht="13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 spans="2:28" ht="13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 spans="2:28" ht="13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 spans="2:28" ht="13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 spans="2:28" ht="13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 spans="2:28" ht="13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 spans="2:28" ht="13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 spans="2:28" ht="13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 spans="2:28" ht="13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 spans="2:28" ht="13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 spans="2:28" ht="13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 spans="2:28" ht="13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 spans="2:28" ht="13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 spans="2:28" ht="13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 spans="2:28" ht="13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 spans="2:28" ht="13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 spans="2:28" ht="13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 spans="2:28" ht="13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 spans="2:28" ht="13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 spans="2:28" ht="13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 spans="2:28" ht="13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 spans="2:28" ht="13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 spans="2:28" ht="13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 spans="2:28" ht="13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 spans="2:28" ht="13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 spans="2:28" ht="13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 spans="2:28" ht="13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 spans="2:28" ht="13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 spans="2:28" ht="13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 spans="2:28" ht="13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 spans="2:28" ht="13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 spans="2:28" ht="13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 spans="2:28" ht="13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 spans="2:28" ht="13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 spans="2:28" ht="13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 spans="2:28" ht="13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 spans="2:28" ht="13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 spans="2:28" ht="13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 spans="2:28" ht="13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 spans="2:28" ht="13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 spans="2:28" ht="13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 spans="2:28" ht="13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 spans="2:28" ht="13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 spans="2:28" ht="13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 spans="2:28" ht="13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 spans="2:28" ht="13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 spans="2:28" ht="13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 spans="2:28" ht="13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 spans="2:28" ht="13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 spans="2:28" ht="13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 spans="2:28" ht="13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 spans="2:28" ht="13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 spans="2:28" ht="13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 spans="2:28" ht="13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 spans="2:28" ht="13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 spans="2:28" ht="13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 spans="2:28" ht="13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 spans="2:28" ht="13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 spans="2:28" ht="13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 spans="2:28" ht="13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 spans="2:28" ht="13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 spans="2:28" ht="13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 spans="2:28" ht="13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 spans="2:28" ht="13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 spans="2:28" ht="13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 spans="2:28" ht="13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 spans="2:28" ht="13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 spans="2:28" ht="13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 spans="2:28" ht="13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 spans="2:28" ht="13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 spans="2:28" ht="13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 spans="2:28" ht="13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 spans="2:28" ht="13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 spans="2:28" ht="13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 spans="2:28" ht="13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 spans="2:28" ht="13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 spans="2:28" ht="13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 spans="2:28" ht="13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 spans="2:28" ht="13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 spans="2:28" ht="13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 spans="2:28" ht="13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 spans="2:28" ht="13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 spans="2:28" ht="13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 spans="2:28" ht="13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 spans="2:28" ht="13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 spans="2:28" ht="13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 spans="2:28" ht="13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 spans="2:28" ht="13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 spans="2:28" ht="13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 spans="2:28" ht="13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 spans="2:28" ht="13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 spans="2:28" ht="13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 spans="2:28" ht="13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 spans="2:28" ht="13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 spans="2:28" ht="13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 spans="2:28" ht="13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 spans="2:28" ht="13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 spans="2:28" ht="13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 spans="2:28" ht="13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 spans="2:28" ht="13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 spans="2:28" ht="13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 spans="2:28" ht="13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 spans="2:28" ht="13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 spans="2:28" ht="13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 spans="2:28" ht="13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 spans="2:28" ht="13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 spans="2:28" ht="13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 spans="2:28" ht="13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 spans="2:28" ht="13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 spans="2:28" ht="13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 spans="2:28" ht="13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 spans="2:28" ht="13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 spans="2:28" ht="13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 spans="2:28" ht="13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 spans="2:28" ht="13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 spans="2:28" ht="13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 spans="2:28" ht="13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 spans="2:28" ht="13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 spans="2:28" ht="13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 spans="2:28" ht="13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 spans="2:28" ht="13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 spans="2:28" ht="13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 spans="2:28" ht="13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 spans="2:28" ht="13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 spans="2:28" ht="13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 spans="2:28" ht="13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 spans="2:28" ht="13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 spans="2:28" ht="13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 spans="2:28" ht="13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 spans="2:28" ht="13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 spans="2:28" ht="13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 spans="2:28" ht="13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 spans="2:28" ht="13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 spans="2:28" ht="13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 spans="2:28" ht="13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 spans="2:28" ht="13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 spans="2:28" ht="13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 spans="2:28" ht="13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 spans="2:28" ht="13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 spans="2:28" ht="13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 spans="2:28" ht="13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 spans="2:28" ht="13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 spans="2:28" ht="13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 spans="2:28" ht="13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 spans="2:28" ht="13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 spans="2:28" ht="13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 spans="2:28" ht="13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 spans="2:28" ht="13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 spans="2:28" ht="13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 spans="2:28" ht="13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 spans="2:28" ht="13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 spans="2:28" ht="13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 spans="2:28" ht="13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 spans="2:28" ht="13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 spans="2:28" ht="13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 spans="2:28" ht="13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 spans="2:28" ht="13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 spans="2:28" ht="13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 spans="2:28" ht="13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 spans="2:28" ht="13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 spans="2:28" ht="13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 spans="2:28" ht="13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 spans="2:28" ht="13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 spans="2:28" ht="13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 spans="2:28" ht="13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 spans="2:28" ht="13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 spans="2:28" ht="13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 spans="2:28" ht="13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 spans="2:28" ht="13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 spans="2:28" ht="13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 spans="2:28" ht="13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 spans="2:28" ht="13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 spans="2:28" ht="13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 spans="2:28" ht="13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 spans="2:28" ht="13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 spans="2:28" ht="13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 spans="2:28" ht="13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 spans="2:28" ht="13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 spans="2:28" ht="13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 spans="2:28" ht="13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 spans="2:28" ht="13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 spans="2:28" ht="13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 spans="2:28" ht="13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 spans="2:28" ht="13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 spans="2:28" ht="13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 spans="2:28" ht="13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 spans="2:28" ht="13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 spans="2:28" ht="13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 spans="2:28" ht="13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 spans="2:28" ht="13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 spans="2:28" ht="13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 spans="2:28" ht="13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 spans="2:28" ht="13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 spans="2:28" ht="13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 spans="2:28" ht="13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 spans="2:28" ht="13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 spans="2:28" ht="13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 spans="2:28" ht="13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 spans="2:28" ht="13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 spans="2:28" ht="13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 spans="2:28" ht="13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 spans="2:28" ht="13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 spans="2:28" ht="13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 spans="2:28" ht="13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 spans="2:28" ht="13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 spans="2:28" ht="13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 spans="2:28" ht="13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 spans="2:28" ht="13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 spans="2:28" ht="13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 spans="2:28" ht="13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 spans="2:28" ht="13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 spans="2:28" ht="13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 spans="2:28" ht="13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 spans="2:28" ht="13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 spans="2:28" ht="13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 spans="2:28" ht="13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 spans="2:28" ht="13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 spans="2:28" ht="13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 spans="2:28" ht="13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 spans="2:28" ht="13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 spans="2:28" ht="13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 spans="2:28" ht="13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 spans="2:28" ht="13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 spans="2:28" ht="13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 spans="2:28" ht="13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 spans="2:28" ht="13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 spans="2:28" ht="13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 spans="2:28" ht="13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 spans="2:28" ht="13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 spans="2:28" ht="13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 spans="2:28" ht="13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 spans="2:28" ht="13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 spans="2:28" ht="13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 spans="2:28" ht="13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 spans="2:28" ht="13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 spans="2:28" ht="13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 spans="2:28" ht="13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 spans="2:28" ht="13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 spans="2:28" ht="13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 spans="2:28" ht="13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 spans="2:28" ht="13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 spans="2:28" ht="13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 spans="2:28" ht="13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 spans="2:28" ht="13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 spans="2:28" ht="13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 spans="2:28" ht="13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 spans="2:28" ht="13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 spans="2:28" ht="13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 spans="2:28" ht="13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 spans="2:28" ht="13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 spans="2:28" ht="13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 spans="2:28" ht="13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 spans="2:28" ht="13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 spans="2:28" ht="13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</sheetData>
  <mergeCells count="5">
    <mergeCell ref="C22:E22"/>
    <mergeCell ref="C23:E23"/>
    <mergeCell ref="C24:E24"/>
    <mergeCell ref="C25:E25"/>
    <mergeCell ref="C26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/>
  </sheetViews>
  <sheetFormatPr baseColWidth="10" defaultColWidth="14.5" defaultRowHeight="15.75" customHeight="1"/>
  <cols>
    <col min="1" max="1" width="28" customWidth="1"/>
  </cols>
  <sheetData>
    <row r="1" spans="1:2" ht="15.75" customHeight="1">
      <c r="A1" s="195" t="s">
        <v>400</v>
      </c>
      <c r="B1" s="195" t="s">
        <v>11</v>
      </c>
    </row>
    <row r="2" spans="1:2" ht="15.75" customHeight="1">
      <c r="A2" s="22" t="s">
        <v>15</v>
      </c>
      <c r="B2" s="23" t="s">
        <v>16</v>
      </c>
    </row>
    <row r="3" spans="1:2" ht="15.75" customHeight="1">
      <c r="A3" s="22" t="s">
        <v>18</v>
      </c>
      <c r="B3" s="23" t="s">
        <v>19</v>
      </c>
    </row>
    <row r="4" spans="1:2" ht="15.75" customHeight="1">
      <c r="A4" s="27" t="s">
        <v>21</v>
      </c>
      <c r="B4" s="23" t="s">
        <v>22</v>
      </c>
    </row>
    <row r="5" spans="1:2" ht="15.75" customHeight="1">
      <c r="A5" s="27" t="s">
        <v>24</v>
      </c>
      <c r="B5" s="23"/>
    </row>
    <row r="6" spans="1:2" ht="15.75" customHeight="1">
      <c r="A6" s="27" t="s">
        <v>31</v>
      </c>
      <c r="B6" s="23" t="s">
        <v>32</v>
      </c>
    </row>
    <row r="7" spans="1:2" ht="15.75" customHeight="1">
      <c r="A7" s="27" t="s">
        <v>33</v>
      </c>
      <c r="B7" s="23" t="s">
        <v>34</v>
      </c>
    </row>
    <row r="8" spans="1:2" ht="15.75" customHeight="1">
      <c r="A8" s="27" t="s">
        <v>35</v>
      </c>
      <c r="B8" s="23" t="s">
        <v>36</v>
      </c>
    </row>
    <row r="9" spans="1:2" ht="15.75" customHeight="1">
      <c r="A9" s="27" t="s">
        <v>38</v>
      </c>
      <c r="B9" s="23" t="s">
        <v>39</v>
      </c>
    </row>
    <row r="10" spans="1:2" ht="15.75" customHeight="1">
      <c r="A10" s="27" t="s">
        <v>40</v>
      </c>
      <c r="B10" s="23" t="s">
        <v>41</v>
      </c>
    </row>
    <row r="11" spans="1:2" ht="15.75" customHeight="1">
      <c r="A11" s="27" t="s">
        <v>42</v>
      </c>
      <c r="B11" s="23" t="s">
        <v>43</v>
      </c>
    </row>
    <row r="12" spans="1:2" ht="15.75" customHeight="1">
      <c r="A12" s="27" t="s">
        <v>44</v>
      </c>
      <c r="B12" s="23" t="s">
        <v>45</v>
      </c>
    </row>
    <row r="13" spans="1:2" ht="15.75" customHeight="1">
      <c r="A13" s="27" t="s">
        <v>46</v>
      </c>
      <c r="B13" s="23" t="s">
        <v>47</v>
      </c>
    </row>
    <row r="14" spans="1:2" ht="15.75" customHeight="1">
      <c r="A14" s="27" t="s">
        <v>48</v>
      </c>
      <c r="B14" s="2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BHTH</vt:lpstr>
      <vt:lpstr>PGY1</vt:lpstr>
      <vt:lpstr>PGY2</vt:lpstr>
      <vt:lpstr>PGY3</vt:lpstr>
      <vt:lpstr>PGY4</vt:lpstr>
      <vt:lpstr>OSRs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Baylen</cp:lastModifiedBy>
  <dcterms:modified xsi:type="dcterms:W3CDTF">2026-03-03T21:14:32Z</dcterms:modified>
</cp:coreProperties>
</file>